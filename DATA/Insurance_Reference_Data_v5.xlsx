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CA Auto Verified" sheetId="2" state="visible" r:id="rId2"/>
    <sheet name="CA Home Verified" sheetId="3" state="visible" r:id="rId3"/>
    <sheet name="TX Auto Verified" sheetId="4" state="visible" r:id="rId4"/>
    <sheet name="FL Auto Verified" sheetId="5" state="visible" r:id="rId5"/>
    <sheet name="NY Auto Verified" sheetId="6" state="visible" r:id="rId6"/>
    <sheet name="TX Home Verified" sheetId="7" state="visible" r:id="rId7"/>
    <sheet name="FL Home Verified" sheetId="8" state="visible" r:id="rId8"/>
    <sheet name="State Min Limits" sheetId="9" state="visible" r:id="rId9"/>
    <sheet name="Rating Factors" sheetId="10" state="visible" r:id="rId10"/>
    <sheet name="Discounts" sheetId="11" state="visible" r:id="rId11"/>
    <sheet name="Telematics" sheetId="12" state="visible" r:id="rId12"/>
    <sheet name="Coverage Details" sheetId="13" state="visible" r:id="rId13"/>
    <sheet name="Price Benchmarks" sheetId="14" state="visible" r:id="rId14"/>
    <sheet name="Regulatory Watch" sheetId="15" state="visible" r:id="rId15"/>
    <sheet name="Quote Source Options" sheetId="16" state="visible" r:id="rId16"/>
    <sheet name="Legal Review Checklist" sheetId="17" state="visible" r:id="rId17"/>
    <sheet name="Refresh Schedule" sheetId="18" state="visible" r:id="rId18"/>
    <sheet name="Conflicts Log" sheetId="19" state="visible" r:id="rId19"/>
    <sheet name="Sources" sheetId="20" state="visible" r:id="rId20"/>
    <sheet name="NY Home Verified" sheetId="21" state="visible" r:id="rId21"/>
  </sheets>
  <definedNames>
    <definedName name="_xlnm._FilterDatabase" localSheetId="1" hidden="1">'CA Auto Verified'!$A$1:$L$32</definedName>
    <definedName name="_xlnm._FilterDatabase" localSheetId="2" hidden="1">'CA Home Verified'!$A$1:$L$45</definedName>
    <definedName name="_xlnm._FilterDatabase" localSheetId="3" hidden="1">'TX Auto Verified'!$A$1:$L$19</definedName>
    <definedName name="_xlnm._FilterDatabase" localSheetId="4" hidden="1">'FL Auto Verified'!$A$1:$L$14</definedName>
    <definedName name="_xlnm._FilterDatabase" localSheetId="5" hidden="1">'NY Auto Verified'!$A$1:$L$23</definedName>
    <definedName name="_xlnm._FilterDatabase" localSheetId="6" hidden="1">'TX Home Verified'!$A$1:$L$17</definedName>
    <definedName name="_xlnm._FilterDatabase" localSheetId="7" hidden="1">'FL Home Verified'!$A$1:$L$13</definedName>
    <definedName name="_xlnm._FilterDatabase" localSheetId="8" hidden="1">'State Min Limits'!$A$1:$P$52</definedName>
    <definedName name="_xlnm._FilterDatabase" localSheetId="9" hidden="1">'Rating Factors'!$A$1:$N$14</definedName>
    <definedName name="_xlnm._FilterDatabase" localSheetId="10" hidden="1">'Discounts'!$A$1:$M$31</definedName>
    <definedName name="_xlnm._FilterDatabase" localSheetId="11" hidden="1">'Telematics'!$A$1:$O$11</definedName>
    <definedName name="_xlnm._FilterDatabase" localSheetId="12" hidden="1">'Coverage Details'!$A$1:$L$24</definedName>
    <definedName name="_xlnm._FilterDatabase" localSheetId="13" hidden="1">'Price Benchmarks'!$A$1:$M$14</definedName>
    <definedName name="_xlnm._FilterDatabase" localSheetId="14" hidden="1">'Regulatory Watch'!$A$1:$L$15</definedName>
    <definedName name="_xlnm._FilterDatabase" localSheetId="16" hidden="1">'Legal Review Checklist'!$A$1:$F$21</definedName>
    <definedName name="_xlnm._FilterDatabase" localSheetId="18" hidden="1">'Conflicts Log'!$A$1:$G$21</definedName>
    <definedName name="_xlnm._FilterDatabase" localSheetId="19" hidden="1">'Sources'!$A$1:$E$95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"/>
    <numFmt numFmtId="166" formatCode="yyyy-mm-dd h:mm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0"/>
    </font>
  </fonts>
  <fills count="8">
    <fill>
      <patternFill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164" fontId="6" fillId="0" borderId="0" applyAlignment="1" pivotButton="0" quotePrefix="0" xfId="0">
      <alignment horizontal="left" vertical="bottom"/>
    </xf>
    <xf numFmtId="0" fontId="5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7" fillId="6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164" fontId="6" fillId="0" borderId="0" applyAlignment="1" pivotButton="0" quotePrefix="0" xfId="0">
      <alignment horizontal="left" vertical="bottom"/>
    </xf>
    <xf numFmtId="0" fontId="5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166" fontId="0" fillId="0" borderId="0" pivotButton="0" quotePrefix="0" xfId="0"/>
    <xf numFmtId="165" fontId="6" fillId="0" borderId="1" applyAlignment="1" pivotButton="0" quotePrefix="0" xfId="0">
      <alignment horizontal="general" vertical="top" wrapText="1"/>
    </xf>
    <xf numFmtId="0" fontId="7" fillId="6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dmv.ca.gov/portal/vehicle-registration/insurance-requirements/" TargetMode="External" Id="rId1" /><Relationship Type="http://schemas.openxmlformats.org/officeDocument/2006/relationships/hyperlink" Target="https://www.dmv.ca.gov/portal/vehicle-registration/insurance-requirements/" TargetMode="External" Id="rId2" /><Relationship Type="http://schemas.openxmlformats.org/officeDocument/2006/relationships/hyperlink" Target="https://www.dmv.ca.gov/portal/vehicle-registration/insurance-requirements/" TargetMode="External" Id="rId3" /><Relationship Type="http://schemas.openxmlformats.org/officeDocument/2006/relationships/hyperlink" Target="https://www.insurance.ca.gov/0400-news/0102-alerts/2024/California-s-Low-Cost-Auto-Insurance.cfm" TargetMode="External" Id="rId4" /><Relationship Type="http://schemas.openxmlformats.org/officeDocument/2006/relationships/hyperlink" Target="https://www.carinsurance.com/Articles/minimum-liability-car-insurance-requirements-by-state.aspx" TargetMode="External" Id="rId5" /><Relationship Type="http://schemas.openxmlformats.org/officeDocument/2006/relationships/hyperlink" Target="https://leginfo.legislature.ca.gov/faces/billNavClient.xhtml?bill_id=202120220SB1107" TargetMode="External" Id="rId6" /><Relationship Type="http://schemas.openxmlformats.org/officeDocument/2006/relationships/hyperlink" Target="https://www.dmv.ca.gov/portal/vehicle-registration/insurance-requirements/" TargetMode="External" Id="rId7" /><Relationship Type="http://schemas.openxmlformats.org/officeDocument/2006/relationships/hyperlink" Target="https://www.dmv.ca.gov/portal/vehicle-registration/insurance-requirements/" TargetMode="External" Id="rId8" /><Relationship Type="http://schemas.openxmlformats.org/officeDocument/2006/relationships/hyperlink" Target="https://www.dmv.ca.gov/portal/vehicle-registration/insurance-requirements/" TargetMode="External" Id="rId9" /><Relationship Type="http://schemas.openxmlformats.org/officeDocument/2006/relationships/hyperlink" Target="https://www.dmv.ca.gov/portal/vehicle-registration/insurance-requirements/" TargetMode="External" Id="rId10" /><Relationship Type="http://schemas.openxmlformats.org/officeDocument/2006/relationships/hyperlink" Target="https://www.insurance.ca.gov/01-consumers/105-type/95-guides/01-auto/auto101.cfm" TargetMode="External" Id="rId11" /><Relationship Type="http://schemas.openxmlformats.org/officeDocument/2006/relationships/hyperlink" Target="https://www.insurance.ca.gov/01-consumers/105-type/95-guides/01-auto/auto101.cfm" TargetMode="External" Id="rId12" /><Relationship Type="http://schemas.openxmlformats.org/officeDocument/2006/relationships/hyperlink" Target="https://www.insurance.ca.gov/01-consumers/105-type/95-guides/01-auto/auto101.cfm" TargetMode="External" Id="rId13" /><Relationship Type="http://schemas.openxmlformats.org/officeDocument/2006/relationships/hyperlink" Target="https://www.insurance.ca.gov/01-consumers/105-type/95-guides/01-auto/auto101.cfm" TargetMode="External" Id="rId14" /><Relationship Type="http://schemas.openxmlformats.org/officeDocument/2006/relationships/hyperlink" Target="https://www.insurance.ca.gov/01-consumers/105-type/95-guides/01-auto/auto101.cfm" TargetMode="External" Id="rId15" /><Relationship Type="http://schemas.openxmlformats.org/officeDocument/2006/relationships/hyperlink" Target="https://www.insurance.ca.gov/01-consumers/105-type/95-guides/01-auto/auto101.cfm" TargetMode="External" Id="rId16" /><Relationship Type="http://schemas.openxmlformats.org/officeDocument/2006/relationships/hyperlink" Target="https://www.law.cornell.edu/regulations/california/10-CCR-2632.5" TargetMode="External" Id="rId17" /><Relationship Type="http://schemas.openxmlformats.org/officeDocument/2006/relationships/hyperlink" Target="https://www.law.cornell.edu/regulations/california/10-CCR-2632.5" TargetMode="External" Id="rId18" /><Relationship Type="http://schemas.openxmlformats.org/officeDocument/2006/relationships/hyperlink" Target="https://www.law.cornell.edu/regulations/california/10-CCR-2632.5" TargetMode="External" Id="rId19" /><Relationship Type="http://schemas.openxmlformats.org/officeDocument/2006/relationships/hyperlink" Target="https://www.law.cornell.edu/regulations/california/10-CCR-2632.5" TargetMode="External" Id="rId20" /><Relationship Type="http://schemas.openxmlformats.org/officeDocument/2006/relationships/hyperlink" Target="https://www.law.cornell.edu/regulations/california/10-CCR-2632.5" TargetMode="External" Id="rId21" /><Relationship Type="http://schemas.openxmlformats.org/officeDocument/2006/relationships/hyperlink" Target="https://www.law.cornell.edu/regulations/california/10-CCR-2632.5" TargetMode="External" Id="rId22" /><Relationship Type="http://schemas.openxmlformats.org/officeDocument/2006/relationships/hyperlink" Target="https://www.law.cornell.edu/regulations/california/10-CCR-2632.5" TargetMode="External" Id="rId23" /><Relationship Type="http://schemas.openxmlformats.org/officeDocument/2006/relationships/hyperlink" Target="https://www.law.cornell.edu/regulations/california/10-CCR-2632.12" TargetMode="External" Id="rId24" /><Relationship Type="http://schemas.openxmlformats.org/officeDocument/2006/relationships/hyperlink" Target="https://law.justia.com/codes/california/code-ins/division-1/part-2/chapter-9/article-10/section-1861-025/" TargetMode="External" Id="rId25" /><Relationship Type="http://schemas.openxmlformats.org/officeDocument/2006/relationships/hyperlink" Target="https://www.insurance.ca.gov/0250-insurers/0300-insurers/0200-bulletins/bulletin-notices-commiss-opinion/upload/Advisory-Notice-2005-02.pdf" TargetMode="External" Id="rId26" /><Relationship Type="http://schemas.openxmlformats.org/officeDocument/2006/relationships/hyperlink" Target="https://codes.findlaw.com/ca/insurance-code/ins-sect-11628-3/" TargetMode="External" Id="rId27" /><Relationship Type="http://schemas.openxmlformats.org/officeDocument/2006/relationships/hyperlink" Target="https://www.insurance.ca.gov/01-consumers/105-type/95-guides/01-auto/auto101.cfm" TargetMode="External" Id="rId28" /><Relationship Type="http://schemas.openxmlformats.org/officeDocument/2006/relationships/hyperlink" Target="https://www.insurance.ca.gov/01-consumers/105-type/95-guides/01-auto/auto101.cfm" TargetMode="External" Id="rId29" /><Relationship Type="http://schemas.openxmlformats.org/officeDocument/2006/relationships/hyperlink" Target="https://www.insurance.ca.gov/01-consumers/105-type/95-guides/01-auto/auto101.cfm" TargetMode="External" Id="rId30" /><Relationship Type="http://schemas.openxmlformats.org/officeDocument/2006/relationships/hyperlink" Target="https://www.insurance.ca.gov/01-consumers/105-type/95-guides/01-auto/auto101.cfm" TargetMode="External" Id="rId3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urance.ca.gov/01-consumers/105-type/95-guides/upload/Homeowners-Insurance-Updated-121924.pdf" TargetMode="External" Id="rId1" /><Relationship Type="http://schemas.openxmlformats.org/officeDocument/2006/relationships/hyperlink" Target="https://www.insurance.ca.gov/01-consumers/105-type/95-guides/03-res/res-ins-guide.cfm" TargetMode="External" Id="rId2" /><Relationship Type="http://schemas.openxmlformats.org/officeDocument/2006/relationships/hyperlink" Target="https://www.insurance.ca.gov/01-consumers/105-type/95-guides/03-res/res-ins-guide.cfm" TargetMode="External" Id="rId3" /><Relationship Type="http://schemas.openxmlformats.org/officeDocument/2006/relationships/hyperlink" Target="https://www.insurance.ca.gov/01-consumers/105-type/95-guides/03-res/res-ins-guide.cfm" TargetMode="External" Id="rId4" /><Relationship Type="http://schemas.openxmlformats.org/officeDocument/2006/relationships/hyperlink" Target="https://www.insurance.ca.gov/01-consumers/105-type/95-guides/03-res/res-ins-guide.cfm" TargetMode="External" Id="rId5" /><Relationship Type="http://schemas.openxmlformats.org/officeDocument/2006/relationships/hyperlink" Target="https://www.insurance.ca.gov/01-consumers/105-type/95-guides/03-res/res-ins-guide.cfm" TargetMode="External" Id="rId6" /><Relationship Type="http://schemas.openxmlformats.org/officeDocument/2006/relationships/hyperlink" Target="https://www.insurance.ca.gov/01-consumers/105-type/95-guides/03-res/res-ins-guide.cfm" TargetMode="External" Id="rId7" /><Relationship Type="http://schemas.openxmlformats.org/officeDocument/2006/relationships/hyperlink" Target="https://www.insurance.ca.gov/01-consumers/105-type/95-guides/03-res/res-ins-guide.cfm" TargetMode="External" Id="rId8" /><Relationship Type="http://schemas.openxmlformats.org/officeDocument/2006/relationships/hyperlink" Target="https://www.insurance.ca.gov/01-consumers/105-type/95-guides/03-res/res-ins-guide.cfm" TargetMode="External" Id="rId9" /><Relationship Type="http://schemas.openxmlformats.org/officeDocument/2006/relationships/hyperlink" Target="https://www.insurance.ca.gov/01-consumers/105-type/95-guides/03-res/res-ins-guide.cfm" TargetMode="External" Id="rId10" /><Relationship Type="http://schemas.openxmlformats.org/officeDocument/2006/relationships/hyperlink" Target="https://www.insurance.ca.gov/01-consumers/105-type/95-guides/03-res/res-ins-guide.cfm" TargetMode="External" Id="rId11" /><Relationship Type="http://schemas.openxmlformats.org/officeDocument/2006/relationships/hyperlink" Target="https://www.insurance.ca.gov/01-consumers/105-type/95-guides/03-res/res-ins-guide.cfm" TargetMode="External" Id="rId12" /><Relationship Type="http://schemas.openxmlformats.org/officeDocument/2006/relationships/hyperlink" Target="https://www.insurance.ca.gov/01-consumers/105-type/95-guides/03-res/res-ins-guide.cfm" TargetMode="External" Id="rId13" /><Relationship Type="http://schemas.openxmlformats.org/officeDocument/2006/relationships/hyperlink" Target="https://www.insurance.ca.gov/01-consumers/200-wrr/Safer-from-Wildfires.cfm" TargetMode="External" Id="rId14" /><Relationship Type="http://schemas.openxmlformats.org/officeDocument/2006/relationships/hyperlink" Target="https://media.rff.org/documents/WP_25-30.pdf" TargetMode="External" Id="rId15" /><Relationship Type="http://schemas.openxmlformats.org/officeDocument/2006/relationships/hyperlink" Target="https://www.insurance.ca.gov/01-consumers/105-type/95-guides/03-res/res-ins-guide.cfm" TargetMode="External" Id="rId16" /><Relationship Type="http://schemas.openxmlformats.org/officeDocument/2006/relationships/hyperlink" Target="https://www.insurance.ca.gov/01-consumers/105-type/95-guides/03-res/res-ins-guide.cfm" TargetMode="External" Id="rId17" /><Relationship Type="http://schemas.openxmlformats.org/officeDocument/2006/relationships/hyperlink" Target="https://www.insurance.ca.gov/01-consumers/105-type/95-guides/03-res/res-ins-guide.cfm" TargetMode="External" Id="rId18" /><Relationship Type="http://schemas.openxmlformats.org/officeDocument/2006/relationships/hyperlink" Target="https://www.insurance.ca.gov/01-consumers/105-type/95-guides/03-res/res-ins-guide.cfm" TargetMode="External" Id="rId19" /><Relationship Type="http://schemas.openxmlformats.org/officeDocument/2006/relationships/hyperlink" Target="https://www.insurance.ca.gov/01-consumers/105-type/95-guides/03-res/res-ins-guide.cfm" TargetMode="External" Id="rId20" /><Relationship Type="http://schemas.openxmlformats.org/officeDocument/2006/relationships/hyperlink" Target="https://www.insurance.ca.gov/01-consumers/105-type/95-guides/03-res/res-ins-guide.cfm" TargetMode="External" Id="rId21" /><Relationship Type="http://schemas.openxmlformats.org/officeDocument/2006/relationships/hyperlink" Target="https://www.insurance.ca.gov/0400-news/0100-press-releases/2025/release079-2025.cfm" TargetMode="External" Id="rId22" /><Relationship Type="http://schemas.openxmlformats.org/officeDocument/2006/relationships/hyperlink" Target="https://www.insurance.ca.gov/0400-news/0100-press-releases/2025/release079-2025.cfm" TargetMode="External" Id="rId23" /><Relationship Type="http://schemas.openxmlformats.org/officeDocument/2006/relationships/hyperlink" Target="https://www.insurance.ca.gov/0400-news/0100-press-releases/2025/release079-2025.cfm" TargetMode="External" Id="rId24" /><Relationship Type="http://schemas.openxmlformats.org/officeDocument/2006/relationships/hyperlink" Target="https://www.insurance.ca.gov/01-consumers/105-type/95-guides/03-res/eq-ins.cfm" TargetMode="External" Id="rId25" /><Relationship Type="http://schemas.openxmlformats.org/officeDocument/2006/relationships/hyperlink" Target="https://law.justia.com/codes/california/code-ins/division-2/part-1/chapter-8-5/section-10083/" TargetMode="External" Id="rId26" /><Relationship Type="http://schemas.openxmlformats.org/officeDocument/2006/relationships/hyperlink" Target="https://www.insurance.ca.gov/01-consumers/105-type/95-guides/03-res/eq-ins.cfm" TargetMode="External" Id="rId27" /><Relationship Type="http://schemas.openxmlformats.org/officeDocument/2006/relationships/hyperlink" Target="https://www.insurance.ca.gov/01-consumers/105-type/95-guides/03-res/eq-ins.cfm" TargetMode="External" Id="rId28" /><Relationship Type="http://schemas.openxmlformats.org/officeDocument/2006/relationships/hyperlink" Target="https://www.insurance.ca.gov/01-consumers/105-type/95-guides/03-res/eq-ins.cfm" TargetMode="External" Id="rId29" /><Relationship Type="http://schemas.openxmlformats.org/officeDocument/2006/relationships/hyperlink" Target="https://www.earthquakeauthority.com/california-earthquake-insurance-policies/homeowners" TargetMode="External" Id="rId30" /><Relationship Type="http://schemas.openxmlformats.org/officeDocument/2006/relationships/hyperlink" Target="https://www.earthquakeauthority.com/california-earthquake-insurance-policies/homeowners" TargetMode="External" Id="rId31" /><Relationship Type="http://schemas.openxmlformats.org/officeDocument/2006/relationships/hyperlink" Target="https://www.insurance.ca.gov/01-consumers/140-catastrophes/FloodFacts.cfm" TargetMode="External" Id="rId32" /><Relationship Type="http://schemas.openxmlformats.org/officeDocument/2006/relationships/hyperlink" Target="https://www.insurance.ca.gov/01-consumers/105-type/95-guides/03-res/res-ins-guide.cfm" TargetMode="External" Id="rId33" /><Relationship Type="http://schemas.openxmlformats.org/officeDocument/2006/relationships/hyperlink" Target="https://www.insurance.ca.gov/01-consumers/140-catastrophes/FloodFacts.cfm" TargetMode="External" Id="rId34" /><Relationship Type="http://schemas.openxmlformats.org/officeDocument/2006/relationships/hyperlink" Target="https://www.insurance.ca.gov/01-consumers/105-type/95-guides/03-res/res-ins-guide.cfm" TargetMode="External" Id="rId35" /><Relationship Type="http://schemas.openxmlformats.org/officeDocument/2006/relationships/hyperlink" Target="https://www.insurance.ca.gov/01-consumers/105-type/95-guides/03-res/res-ins-guide.cfm" TargetMode="External" Id="rId36" /><Relationship Type="http://schemas.openxmlformats.org/officeDocument/2006/relationships/hyperlink" Target="https://www.insurance.ca.gov/01-consumers/105-type/95-guides/03-res/res-ins-guide.cfm" TargetMode="External" Id="rId37" /><Relationship Type="http://schemas.openxmlformats.org/officeDocument/2006/relationships/hyperlink" Target="https://www.insurance.ca.gov/0400-news/0100-press-releases/2019/release089-19.cfm" TargetMode="External" Id="rId38" /><Relationship Type="http://schemas.openxmlformats.org/officeDocument/2006/relationships/hyperlink" Target="https://www.kqed.org/news/12094860/california-fair-plan-announces-29-1-rate-hike-for-homeowners-this-fall" TargetMode="External" Id="rId39" /><Relationship Type="http://schemas.openxmlformats.org/officeDocument/2006/relationships/hyperlink" Target="https://insurancenewsnet.com/oarticle/california-fair-plan-rates-going-up-29-1-in-late-2026" TargetMode="External" Id="rId40" /><Relationship Type="http://schemas.openxmlformats.org/officeDocument/2006/relationships/hyperlink" Target="https://www.insurance.ca.gov/01-consumers/180-climate-change/SustainableInsuranceStrategy.cfm" TargetMode="External" Id="rId41" /><Relationship Type="http://schemas.openxmlformats.org/officeDocument/2006/relationships/hyperlink" Target="https://www.insurance.ca.gov/01-consumers/105-type/95-guides/03-res/res-ins-guide.cfm" TargetMode="External" Id="rId42" /><Relationship Type="http://schemas.openxmlformats.org/officeDocument/2006/relationships/hyperlink" Target="https://www.insurance.ca.gov/01-consumers/105-type/95-guides/03-res/res-ins-guide.cfm" TargetMode="External" Id="rId43" /><Relationship Type="http://schemas.openxmlformats.org/officeDocument/2006/relationships/hyperlink" Target="https://www.insurance.ca.gov/01-consumers/105-type/95-guides/03-res/res-ins-guide.cfm" TargetMode="External" Id="rId4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di.texas.gov/pubs/consumer/cb020.html" TargetMode="External" Id="rId1" /><Relationship Type="http://schemas.openxmlformats.org/officeDocument/2006/relationships/hyperlink" Target="https://www.tdi.texas.gov/pubs/consumer/cb020.html" TargetMode="External" Id="rId2" /><Relationship Type="http://schemas.openxmlformats.org/officeDocument/2006/relationships/hyperlink" Target="https://www.ashmorelaw.com/blog/car-insurance-do-you-have-enough-.cfm" TargetMode="External" Id="rId3" /><Relationship Type="http://schemas.openxmlformats.org/officeDocument/2006/relationships/hyperlink" Target="https://www.tdi.texas.gov/pubs/consumer/cb020.html" TargetMode="External" Id="rId4" /><Relationship Type="http://schemas.openxmlformats.org/officeDocument/2006/relationships/hyperlink" Target="https://www.tdi.texas.gov/pubs/consumer/cb020.html" TargetMode="External" Id="rId5" /><Relationship Type="http://schemas.openxmlformats.org/officeDocument/2006/relationships/hyperlink" Target="https://www.tdi.texas.gov/pubs/consumer/cb020.html" TargetMode="External" Id="rId6" /><Relationship Type="http://schemas.openxmlformats.org/officeDocument/2006/relationships/hyperlink" Target="https://www.tdi.texas.gov/pubs/consumer/cb020.html" TargetMode="External" Id="rId7" /><Relationship Type="http://schemas.openxmlformats.org/officeDocument/2006/relationships/hyperlink" Target="https://www.tdi.texas.gov/pubs/consumer/cb020.html" TargetMode="External" Id="rId8" /><Relationship Type="http://schemas.openxmlformats.org/officeDocument/2006/relationships/hyperlink" Target="https://www.tdi.texas.gov/pubs/consumer/cb020.html" TargetMode="External" Id="rId9" /><Relationship Type="http://schemas.openxmlformats.org/officeDocument/2006/relationships/hyperlink" Target="https://www.tdi.texas.gov/pubs/consumer/cb020.html" TargetMode="External" Id="rId10" /><Relationship Type="http://schemas.openxmlformats.org/officeDocument/2006/relationships/hyperlink" Target="https://www.tdi.texas.gov/pubs/consumer/cb020.html" TargetMode="External" Id="rId11" /><Relationship Type="http://schemas.openxmlformats.org/officeDocument/2006/relationships/hyperlink" Target="https://www.tdi.texas.gov/pubs/consumer/cb020.html" TargetMode="External" Id="rId12" /><Relationship Type="http://schemas.openxmlformats.org/officeDocument/2006/relationships/hyperlink" Target="https://www.tdi.texas.gov/pubs/consumer/cb020.html" TargetMode="External" Id="rId13" /><Relationship Type="http://schemas.openxmlformats.org/officeDocument/2006/relationships/hyperlink" Target="https://www.tdi.texas.gov/pubs/consumer/cb020.html" TargetMode="External" Id="rId14" /><Relationship Type="http://schemas.openxmlformats.org/officeDocument/2006/relationships/hyperlink" Target="https://www.tdi.texas.gov/pubs/consumer/cb020.html" TargetMode="External" Id="rId15" /><Relationship Type="http://schemas.openxmlformats.org/officeDocument/2006/relationships/hyperlink" Target="https://www.tdi.texas.gov/pubs/consumer/cb020.html" TargetMode="External" Id="rId16" /><Relationship Type="http://schemas.openxmlformats.org/officeDocument/2006/relationships/hyperlink" Target="https://www.tdi.texas.gov/pubs/consumer/cb020.html" TargetMode="External" Id="rId17" /><Relationship Type="http://schemas.openxmlformats.org/officeDocument/2006/relationships/hyperlink" Target="https://www.tdi.texas.gov/pubs/consumer/cb020.html" TargetMode="External" Id="rId1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hsmv.gov/insurance/" TargetMode="External" Id="rId1" /><Relationship Type="http://schemas.openxmlformats.org/officeDocument/2006/relationships/hyperlink" Target="https://www.flhsmv.gov/insurance/" TargetMode="External" Id="rId2" /><Relationship Type="http://schemas.openxmlformats.org/officeDocument/2006/relationships/hyperlink" Target="https://www.flhsmv.gov/insurance/" TargetMode="External" Id="rId3" /><Relationship Type="http://schemas.openxmlformats.org/officeDocument/2006/relationships/hyperlink" Target="https://www.flhsmv.gov/insurance/" TargetMode="External" Id="rId4" /><Relationship Type="http://schemas.openxmlformats.org/officeDocument/2006/relationships/hyperlink" Target="https://www.flhsmv.gov/insurance/" TargetMode="External" Id="rId5" /><Relationship Type="http://schemas.openxmlformats.org/officeDocument/2006/relationships/hyperlink" Target="https://www.flsenate.gov/Laws/Statutes/2022/Chapter324/All" TargetMode="External" Id="rId6" /><Relationship Type="http://schemas.openxmlformats.org/officeDocument/2006/relationships/hyperlink" Target="https://www.vilesandbeckman.com/blog/did-florida-repeal-no-fault-insurance-the-pip-myths-and-the-facts-for-2026/" TargetMode="External" Id="rId7" /><Relationship Type="http://schemas.openxmlformats.org/officeDocument/2006/relationships/hyperlink" Target="https://www.vilesandbeckman.com/blog/did-florida-repeal-no-fault-insurance-the-pip-myths-and-the-facts-for-2026/" TargetMode="External" Id="rId8" /><Relationship Type="http://schemas.openxmlformats.org/officeDocument/2006/relationships/hyperlink" Target="https://www.vilesandbeckman.com/blog/did-florida-repeal-no-fault-insurance-the-pip-myths-and-the-facts-for-2026/" TargetMode="External" Id="rId9" /><Relationship Type="http://schemas.openxmlformats.org/officeDocument/2006/relationships/hyperlink" Target="https://law.justia.com/codes/florida/title-xxxvii/chapter-627/part-xi/section-627-728/" TargetMode="External" Id="rId10" /><Relationship Type="http://schemas.openxmlformats.org/officeDocument/2006/relationships/hyperlink" Target="https://www.flsenate.gov/Laws/Statutes/2025/0626.9741" TargetMode="External" Id="rId11" /><Relationship Type="http://schemas.openxmlformats.org/officeDocument/2006/relationships/hyperlink" Target="https://www.flsenate.gov/Laws/Statutes/2025/Chapter627/All" TargetMode="External" Id="rId12" /><Relationship Type="http://schemas.openxmlformats.org/officeDocument/2006/relationships/hyperlink" Target="https://www.flsenate.gov/Laws/Statutes/2025/Chapter627/All" TargetMode="External" Id="rId13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dfs.ny.gov/consumers/auto_insurance/Auto_resource_center" TargetMode="External" Id="rId1" /><Relationship Type="http://schemas.openxmlformats.org/officeDocument/2006/relationships/hyperlink" Target="https://www.dfs.ny.gov/consumers/auto_insurance/Auto_resource_center" TargetMode="External" Id="rId2" /><Relationship Type="http://schemas.openxmlformats.org/officeDocument/2006/relationships/hyperlink" Target="https://www.dfs.ny.gov/consumers/auto_insurance/Auto_resource_center" TargetMode="External" Id="rId3" /><Relationship Type="http://schemas.openxmlformats.org/officeDocument/2006/relationships/hyperlink" Target="https://www.dfs.ny.gov/consumers/auto_insurance/Auto_resource_center" TargetMode="External" Id="rId4" /><Relationship Type="http://schemas.openxmlformats.org/officeDocument/2006/relationships/hyperlink" Target="https://www.dfs.ny.gov/consumers/auto_insurance/Auto_resource_center" TargetMode="External" Id="rId5" /><Relationship Type="http://schemas.openxmlformats.org/officeDocument/2006/relationships/hyperlink" Target="https://www.dfs.ny.gov/consumers/auto_insurance/Auto_resource_center" TargetMode="External" Id="rId6" /><Relationship Type="http://schemas.openxmlformats.org/officeDocument/2006/relationships/hyperlink" Target="https://www.dfs.ny.gov/consumers/auto_insurance/Auto_resource_center" TargetMode="External" Id="rId7" /><Relationship Type="http://schemas.openxmlformats.org/officeDocument/2006/relationships/hyperlink" Target="https://www.dfs.ny.gov/faqs/consumer-auto/how-much-auto-insurance-must-i-carry" TargetMode="External" Id="rId8" /><Relationship Type="http://schemas.openxmlformats.org/officeDocument/2006/relationships/hyperlink" Target="https://www.dfs.ny.gov/consumers/auto_insurance/Auto_resource_center" TargetMode="External" Id="rId9" /><Relationship Type="http://schemas.openxmlformats.org/officeDocument/2006/relationships/hyperlink" Target="https://www.dfs.ny.gov/consumers/auto_insurance/Auto_resource_center" TargetMode="External" Id="rId10" /><Relationship Type="http://schemas.openxmlformats.org/officeDocument/2006/relationships/hyperlink" Target="https://www.dfs.ny.gov/consumers/auto_insurance/Auto_resource_center" TargetMode="External" Id="rId11" /><Relationship Type="http://schemas.openxmlformats.org/officeDocument/2006/relationships/hyperlink" Target="https://www.dfs.ny.gov/consumers/auto_insurance/Auto_resource_center" TargetMode="External" Id="rId12" /><Relationship Type="http://schemas.openxmlformats.org/officeDocument/2006/relationships/hyperlink" Target="https://www.dfs.ny.gov/consumers/auto_insurance/Auto_resource_center" TargetMode="External" Id="rId13" /><Relationship Type="http://schemas.openxmlformats.org/officeDocument/2006/relationships/hyperlink" Target="https://www.dfs.ny.gov/consumers/auto_insurance/Auto_resource_center" TargetMode="External" Id="rId14" /><Relationship Type="http://schemas.openxmlformats.org/officeDocument/2006/relationships/hyperlink" Target="https://www.dfs.ny.gov/consumers/auto_insurance/Auto_resource_center" TargetMode="External" Id="rId15" /><Relationship Type="http://schemas.openxmlformats.org/officeDocument/2006/relationships/hyperlink" Target="https://www.dfs.ny.gov/consumers/auto_insurance/Auto_resource_center" TargetMode="External" Id="rId16" /><Relationship Type="http://schemas.openxmlformats.org/officeDocument/2006/relationships/hyperlink" Target="https://www.dfs.ny.gov/consumers/auto_insurance/Auto_resource_center" TargetMode="External" Id="rId17" /><Relationship Type="http://schemas.openxmlformats.org/officeDocument/2006/relationships/hyperlink" Target="https://www.dfs.ny.gov/consumers/auto_insurance/Auto_resource_center" TargetMode="External" Id="rId18" /><Relationship Type="http://schemas.openxmlformats.org/officeDocument/2006/relationships/hyperlink" Target="https://www.dfs.ny.gov/consumers/auto_insurance/Auto_resource_center" TargetMode="External" Id="rId19" /><Relationship Type="http://schemas.openxmlformats.org/officeDocument/2006/relationships/hyperlink" Target="https://www.dfs.ny.gov/consumers/auto_insurance/Auto_resource_center" TargetMode="External" Id="rId20" /><Relationship Type="http://schemas.openxmlformats.org/officeDocument/2006/relationships/hyperlink" Target="https://www.dfs.ny.gov/consumers/auto_insurance/Auto_resource_center" TargetMode="External" Id="rId21" /><Relationship Type="http://schemas.openxmlformats.org/officeDocument/2006/relationships/hyperlink" Target="https://www.dfs.ny.gov/consumers/auto_insurance/Auto_resource_center" TargetMode="External" Id="rId22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di.texas.gov/pubs/consumer/cb025.html" TargetMode="External" Id="rId1" /><Relationship Type="http://schemas.openxmlformats.org/officeDocument/2006/relationships/hyperlink" Target="https://www.tdi.texas.gov/pubs/consumer/cb025.html" TargetMode="External" Id="rId2" /><Relationship Type="http://schemas.openxmlformats.org/officeDocument/2006/relationships/hyperlink" Target="https://www.tdi.texas.gov/pubs/consumer/cb025.html" TargetMode="External" Id="rId3" /><Relationship Type="http://schemas.openxmlformats.org/officeDocument/2006/relationships/hyperlink" Target="https://www.tdi.texas.gov/pubs/consumer/cb025.html" TargetMode="External" Id="rId4" /><Relationship Type="http://schemas.openxmlformats.org/officeDocument/2006/relationships/hyperlink" Target="https://tdi.texas.gov/blog/category/home-property.html" TargetMode="External" Id="rId5" /><Relationship Type="http://schemas.openxmlformats.org/officeDocument/2006/relationships/hyperlink" Target="https://www.tdi.texas.gov/pubs/consumer/cb025.html" TargetMode="External" Id="rId6" /><Relationship Type="http://schemas.openxmlformats.org/officeDocument/2006/relationships/hyperlink" Target="https://www.tdi.texas.gov/general/texas-homeowners-insurance-market-overview.html" TargetMode="External" Id="rId7" /><Relationship Type="http://schemas.openxmlformats.org/officeDocument/2006/relationships/hyperlink" Target="https://www.twia.org/flood-requirement/" TargetMode="External" Id="rId8" /><Relationship Type="http://schemas.openxmlformats.org/officeDocument/2006/relationships/hyperlink" Target="https://www.tdi.texas.gov/pubs/consumer/cb025.html" TargetMode="External" Id="rId9" /><Relationship Type="http://schemas.openxmlformats.org/officeDocument/2006/relationships/hyperlink" Target="https://tdi.texas.gov/blog/category/home-property.html" TargetMode="External" Id="rId10" /><Relationship Type="http://schemas.openxmlformats.org/officeDocument/2006/relationships/hyperlink" Target="https://www.latentinsure.com/texas-homeowners-insurance/twia" TargetMode="External" Id="rId11" /><Relationship Type="http://schemas.openxmlformats.org/officeDocument/2006/relationships/hyperlink" Target="https://www.tdi.texas.gov/pubs/consumer/cb025.html" TargetMode="External" Id="rId12" /><Relationship Type="http://schemas.openxmlformats.org/officeDocument/2006/relationships/hyperlink" Target="https://tdi.texas.gov/blog/category/home-property.html" TargetMode="External" Id="rId13" /><Relationship Type="http://schemas.openxmlformats.org/officeDocument/2006/relationships/hyperlink" Target="https://www.tdi.texas.gov/pubs/consumer/cb025.html" TargetMode="External" Id="rId14" /><Relationship Type="http://schemas.openxmlformats.org/officeDocument/2006/relationships/hyperlink" Target="https://aegivra.com/guides/texas-homeowners-insurance-guide" TargetMode="External" Id="rId15" /><Relationship Type="http://schemas.openxmlformats.org/officeDocument/2006/relationships/hyperlink" Target="https://aegivra.com/guides/texas-homeowners-insurance-guide" TargetMode="External" Id="rId16" /></Relationships>
</file>

<file path=xl/worksheets/_rels/sheet8.xml.rels><Relationships xmlns="http://schemas.openxmlformats.org/package/2006/relationships"><Relationship Type="http://schemas.openxmlformats.org/officeDocument/2006/relationships/hyperlink" Target="https://codes.findlaw.com/fl/title-xxxvii-insurance/fl-st-sect-627-701/" TargetMode="External" Id="rId1" /><Relationship Type="http://schemas.openxmlformats.org/officeDocument/2006/relationships/hyperlink" Target="https://www.myfloridacfo.com/division/consumers/consumerprotections/floridashurricanedeductible" TargetMode="External" Id="rId2" /><Relationship Type="http://schemas.openxmlformats.org/officeDocument/2006/relationships/hyperlink" Target="https://www.myfloridacfo.com/division/consumers/consumerprotections/floridashurricanedeductible" TargetMode="External" Id="rId3" /><Relationship Type="http://schemas.openxmlformats.org/officeDocument/2006/relationships/hyperlink" Target="https://www.myfloridacfo.com/division/consumers/consumerprotections/floridashurricanedeductible" TargetMode="External" Id="rId4" /><Relationship Type="http://schemas.openxmlformats.org/officeDocument/2006/relationships/hyperlink" Target="https://codes.findlaw.com/fl/title-xxxvii-insurance/fl-st-sect-627-701/" TargetMode="External" Id="rId5" /><Relationship Type="http://schemas.openxmlformats.org/officeDocument/2006/relationships/hyperlink" Target="https://codes.findlaw.com/fl/title-xxxvii-insurance/fl-st-sect-627-701/" TargetMode="External" Id="rId6" /><Relationship Type="http://schemas.openxmlformats.org/officeDocument/2006/relationships/hyperlink" Target="https://coverageclassroom.com/learn/hurricane-insurance-florida-guide" TargetMode="External" Id="rId7" /><Relationship Type="http://schemas.openxmlformats.org/officeDocument/2006/relationships/hyperlink" Target="https://coverageclassroom.com/learn/citizens-flood-insurance-requirement" TargetMode="External" Id="rId8" /><Relationship Type="http://schemas.openxmlformats.org/officeDocument/2006/relationships/hyperlink" Target="https://www.cigflorida.com/policy-updates-for-florida-homeowners/" TargetMode="External" Id="rId9" /><Relationship Type="http://schemas.openxmlformats.org/officeDocument/2006/relationships/hyperlink" Target="https://www.cigflorida.com/policy-updates-for-florida-homeowners/" TargetMode="External" Id="rId10" /><Relationship Type="http://schemas.openxmlformats.org/officeDocument/2006/relationships/hyperlink" Target="https://coverageclassroom.com/learn/citizens-flood-insurance-requirement" TargetMode="External" Id="rId11" /><Relationship Type="http://schemas.openxmlformats.org/officeDocument/2006/relationships/hyperlink" Target="https://coverageclassroom.com/learn/hurricane-insurance-florida-guide" TargetMode="External" Id="rId12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insurancegeek.com/auto-insurance/state-minimum-car-insurance-limits/" TargetMode="External" Id="rId1" /><Relationship Type="http://schemas.openxmlformats.org/officeDocument/2006/relationships/hyperlink" Target="https://www.dmv.ca.gov/portal/vehicle-registration/insurance-requirements/" TargetMode="External" Id="rId2" /><Relationship Type="http://schemas.openxmlformats.org/officeDocument/2006/relationships/hyperlink" Target="https://www.flhsmv.gov/insurance/" TargetMode="External" Id="rId3" /><Relationship Type="http://schemas.openxmlformats.org/officeDocument/2006/relationships/hyperlink" Target="https://beachinsurancellc.com/blog/state-minimum-car-insurance-requirements-for-2026-your-essential-guide" TargetMode="External" Id="rId4" /><Relationship Type="http://schemas.openxmlformats.org/officeDocument/2006/relationships/hyperlink" Target="https://coveragecriteria.com/articles/minimum-auto-insurance-by-state" TargetMode="External" Id="rId5" /><Relationship Type="http://schemas.openxmlformats.org/officeDocument/2006/relationships/hyperlink" Target="https://www.autoinsurance.org/car-insurance-requirements/" TargetMode="External" Id="rId6" /><Relationship Type="http://schemas.openxmlformats.org/officeDocument/2006/relationships/hyperlink" Target="https://coveragecriteria.com/articles/minimum-auto-insurance-by-state" TargetMode="External" Id="rId7" /><Relationship Type="http://schemas.openxmlformats.org/officeDocument/2006/relationships/hyperlink" Target="https://www.insurancegeek.com/auto-insurance/state-minimum-car-insurance-limits/" TargetMode="External" Id="rId8" /><Relationship Type="http://schemas.openxmlformats.org/officeDocument/2006/relationships/hyperlink" Target="https://coveragecriteria.com/articles/minimum-auto-insurance-by-state" TargetMode="External" Id="rId9" /><Relationship Type="http://schemas.openxmlformats.org/officeDocument/2006/relationships/hyperlink" Target="https://www.cnbc.com/select/state-minimum-car-insurance-requirements/" TargetMode="External" Id="rId10" /><Relationship Type="http://schemas.openxmlformats.org/officeDocument/2006/relationships/hyperlink" Target="https://www.carinsurance.com/Articles/minimum-liability-car-insurance-requirements-by-state.aspx" TargetMode="External" Id="rId11" /><Relationship Type="http://schemas.openxmlformats.org/officeDocument/2006/relationships/hyperlink" Target="https://www.dfs.ny.gov/consumers/auto_insurance/Auto_resource_center" TargetMode="External" Id="rId12" /><Relationship Type="http://schemas.openxmlformats.org/officeDocument/2006/relationships/hyperlink" Target="https://www.carinsurance.com/Articles/minimum-liability-car-insurance-requirements-by-state.aspx" TargetMode="External" Id="rId13" /><Relationship Type="http://schemas.openxmlformats.org/officeDocument/2006/relationships/hyperlink" Target="https://beachinsurancellc.com/blog/state-minimum-car-insurance-requirements-for-2026-your-essential-guide" TargetMode="External" Id="rId14" /><Relationship Type="http://schemas.openxmlformats.org/officeDocument/2006/relationships/hyperlink" Target="https://www.autoinsurance.org/car-insurance-requirements/" TargetMode="External" Id="rId15" /><Relationship Type="http://schemas.openxmlformats.org/officeDocument/2006/relationships/hyperlink" Target="https://www.tdi.texas.gov/pubs/consumer/cb020.html" TargetMode="External" Id="rId16" /><Relationship Type="http://schemas.openxmlformats.org/officeDocument/2006/relationships/hyperlink" Target="https://www.carinsurance.com/Articles/minimum-liability-car-insurance-requirements-by-state.aspx" TargetMode="External" Id="rId17" /><Relationship Type="http://schemas.openxmlformats.org/officeDocument/2006/relationships/hyperlink" Target="https://www.autoinsurance.org/car-insurance-requirements/" TargetMode="External" Id="rId18" /><Relationship Type="http://schemas.openxmlformats.org/officeDocument/2006/relationships/hyperlink" Target="https://www.carinsurance.com/Articles/minimum-liability-car-insurance-requirements-by-state.aspx" TargetMode="External" Id="rId19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law.cornell.edu/regulations/california/10-CCR-2632.5" TargetMode="External" Id="rId1" /><Relationship Type="http://schemas.openxmlformats.org/officeDocument/2006/relationships/hyperlink" Target="https://uphelp.org/should-states-ban-credit-based-insurance-scoring/" TargetMode="External" Id="rId2" /><Relationship Type="http://schemas.openxmlformats.org/officeDocument/2006/relationships/hyperlink" Target="https://www.newsweek.com/where-your-credit-score-can-cant-raise-insurance-costs-11885672" TargetMode="External" Id="rId3" /><Relationship Type="http://schemas.openxmlformats.org/officeDocument/2006/relationships/hyperlink" Target="https://www.tdi.texas.gov/pubs/consumer/cb020.html" TargetMode="External" Id="rId4" /><Relationship Type="http://schemas.openxmlformats.org/officeDocument/2006/relationships/hyperlink" Target="https://www.flsenate.gov/Laws/Statutes/2025/0626.9741" TargetMode="External" Id="rId5" /><Relationship Type="http://schemas.openxmlformats.org/officeDocument/2006/relationships/hyperlink" Target="https://www.dfs.ny.gov/consumers/auto_insurance/Auto_resource_center" TargetMode="External" Id="rId6" /><Relationship Type="http://schemas.openxmlformats.org/officeDocument/2006/relationships/hyperlink" Target="https://www.thezebra.com/resources/research/car-insurance-rating-factors-by-state/" TargetMode="External" Id="rId7" /><Relationship Type="http://schemas.openxmlformats.org/officeDocument/2006/relationships/hyperlink" Target="https://www.experian.com/blogs/ask-experian/which-states-prohibit-or-restrict-the-use-of-credit-based-insurance-scores/" TargetMode="External" Id="rId8" /><Relationship Type="http://schemas.openxmlformats.org/officeDocument/2006/relationships/hyperlink" Target="https://www.cnbc.com/2026/04/26/insurance-rates-credit-history.html" TargetMode="External" Id="rId9" /><Relationship Type="http://schemas.openxmlformats.org/officeDocument/2006/relationships/hyperlink" Target="https://www.experian.com/blogs/ask-experian/which-states-prohibit-or-restrict-the-use-of-credit-based-insurance-scores/" TargetMode="External" Id="rId10" /><Relationship Type="http://schemas.openxmlformats.org/officeDocument/2006/relationships/hyperlink" Target="https://www.experian.com/blogs/ask-experian/which-states-prohibit-or-restrict-the-use-of-credit-based-insurance-scores/" TargetMode="External" Id="rId11" /><Relationship Type="http://schemas.openxmlformats.org/officeDocument/2006/relationships/hyperlink" Target="https://www.moneygeek.com/insurance/auto/which-insurance-companies-dont-check-credit-score/" TargetMode="External" Id="rId12" /><Relationship Type="http://schemas.openxmlformats.org/officeDocument/2006/relationships/hyperlink" Target="https://www.experian.com/blogs/ask-experian/which-states-prohibit-or-restrict-the-use-of-credit-based-insurance-scores/" TargetMode="External" Id="rId13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dfs.ny.gov/consumers/auto_insurance/discounts_list" TargetMode="External" Id="rId1" /><Relationship Type="http://schemas.openxmlformats.org/officeDocument/2006/relationships/hyperlink" Target="https://www.dfs.ny.gov/consumers/auto_insurance/discounts_list" TargetMode="External" Id="rId2" /><Relationship Type="http://schemas.openxmlformats.org/officeDocument/2006/relationships/hyperlink" Target="https://www.dfs.ny.gov/consumers/auto_insurance/discounts_list" TargetMode="External" Id="rId3" /><Relationship Type="http://schemas.openxmlformats.org/officeDocument/2006/relationships/hyperlink" Target="https://www.dfs.ny.gov/consumers/auto_insurance/discounts_list" TargetMode="External" Id="rId4" /><Relationship Type="http://schemas.openxmlformats.org/officeDocument/2006/relationships/hyperlink" Target="https://www.dfs.ny.gov/consumers/auto_insurance/discounts_list" TargetMode="External" Id="rId5" /><Relationship Type="http://schemas.openxmlformats.org/officeDocument/2006/relationships/hyperlink" Target="https://www.dfs.ny.gov/consumers/auto_insurance/discounts_list" TargetMode="External" Id="rId6" /><Relationship Type="http://schemas.openxmlformats.org/officeDocument/2006/relationships/hyperlink" Target="https://www.moneygeek.com/insurance/auto/defensive-driver-courses/" TargetMode="External" Id="rId7" /><Relationship Type="http://schemas.openxmlformats.org/officeDocument/2006/relationships/hyperlink" Target="https://www.moneygeek.com/insurance/auto/defensive-driver-courses/" TargetMode="External" Id="rId8" /><Relationship Type="http://schemas.openxmlformats.org/officeDocument/2006/relationships/hyperlink" Target="https://www.geico.com/save/discounts/defensive-driver-discounts/" TargetMode="External" Id="rId9" /><Relationship Type="http://schemas.openxmlformats.org/officeDocument/2006/relationships/hyperlink" Target="https://www.geico.com/save/discounts/defensive-driver-discounts/" TargetMode="External" Id="rId10" /><Relationship Type="http://schemas.openxmlformats.org/officeDocument/2006/relationships/hyperlink" Target="https://www.geico.com/save/discounts/defensive-driver-discounts/" TargetMode="External" Id="rId11" /><Relationship Type="http://schemas.openxmlformats.org/officeDocument/2006/relationships/hyperlink" Target="https://www.moneygeek.com/insurance/auto/defensive-driver-courses/" TargetMode="External" Id="rId12" /><Relationship Type="http://schemas.openxmlformats.org/officeDocument/2006/relationships/hyperlink" Target="https://www.insurance.ca.gov/01-consumers/105-type/95-guides/01-auto/auto101.cfm" TargetMode="External" Id="rId13" /><Relationship Type="http://schemas.openxmlformats.org/officeDocument/2006/relationships/hyperlink" Target="https://www.insurance.ca.gov/0250-insurers/0300-insurers/0200-bulletins/bulletin-notices-commiss-opinion/upload/Advisory-Notice-2005-02.pdf" TargetMode="External" Id="rId14" /><Relationship Type="http://schemas.openxmlformats.org/officeDocument/2006/relationships/hyperlink" Target="https://codes.findlaw.com/ca/insurance-code/ins-sect-11628-3/" TargetMode="External" Id="rId15" /><Relationship Type="http://schemas.openxmlformats.org/officeDocument/2006/relationships/hyperlink" Target="https://www.insurance.ca.gov/0250-insurers/0300-insurers/0200-bulletins/bulletin-notices-commiss-opinion/upload/Advisory-Notice-2005-02.pdf" TargetMode="External" Id="rId16" /><Relationship Type="http://schemas.openxmlformats.org/officeDocument/2006/relationships/hyperlink" Target="https://www.dfs.ny.gov/consumers/auto_insurance/Auto_resource_center" TargetMode="External" Id="rId17" /><Relationship Type="http://schemas.openxmlformats.org/officeDocument/2006/relationships/hyperlink" Target="https://www.dfs.ny.gov/consumers/auto_insurance/Auto_resource_center" TargetMode="External" Id="rId18" /><Relationship Type="http://schemas.openxmlformats.org/officeDocument/2006/relationships/hyperlink" Target="https://www.dfs.ny.gov/consumers/auto_insurance/Auto_resource_center" TargetMode="External" Id="rId19" /><Relationship Type="http://schemas.openxmlformats.org/officeDocument/2006/relationships/hyperlink" Target="https://www.tdi.texas.gov/pubs/consumer/cb020.html" TargetMode="External" Id="rId20" /><Relationship Type="http://schemas.openxmlformats.org/officeDocument/2006/relationships/hyperlink" Target="https://flsenate.gov/Laws/Statutes/2003/627.06501" TargetMode="External" Id="rId21" /><Relationship Type="http://schemas.openxmlformats.org/officeDocument/2006/relationships/hyperlink" Target="https://www.flsenate.gov/laws/statutes/2012/627.0652" TargetMode="External" Id="rId22" /><Relationship Type="http://schemas.openxmlformats.org/officeDocument/2006/relationships/hyperlink" Target="https://www.flsenate.gov/Laws/Statutes/2025/Chapter627/All" TargetMode="External" Id="rId23" /><Relationship Type="http://schemas.openxmlformats.org/officeDocument/2006/relationships/hyperlink" Target="https://www.safedriver.com/news/defensive-driving-for-insurance-discount-2026-how-much-you-can-really-save" TargetMode="External" Id="rId24" /><Relationship Type="http://schemas.openxmlformats.org/officeDocument/2006/relationships/hyperlink" Target="https://www.insurance.com/auto-insurance/car-insurance-discounts.html" TargetMode="External" Id="rId25" /><Relationship Type="http://schemas.openxmlformats.org/officeDocument/2006/relationships/hyperlink" Target="https://www.insurance.com/auto-insurance/car-insurance-discounts.html" TargetMode="External" Id="rId26" /><Relationship Type="http://schemas.openxmlformats.org/officeDocument/2006/relationships/hyperlink" Target="https://www.insurance.com/auto-insurance/car-insurance-discounts.html" TargetMode="External" Id="rId27" /><Relationship Type="http://schemas.openxmlformats.org/officeDocument/2006/relationships/hyperlink" Target="https://www.insurance.com/auto-insurance/car-insurance-discounts.html" TargetMode="External" Id="rId28" /><Relationship Type="http://schemas.openxmlformats.org/officeDocument/2006/relationships/hyperlink" Target="https://www.statefarm.com/insurance/auto/discounts" TargetMode="External" Id="rId29" /><Relationship Type="http://schemas.openxmlformats.org/officeDocument/2006/relationships/hyperlink" Target="https://insurify.com/car-insurance/coverage/telematics/" TargetMode="External" Id="rId30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bankrate.com/insurance/car/are-telematics-programs-worth-the-discount/" TargetMode="External" Id="rId1" /><Relationship Type="http://schemas.openxmlformats.org/officeDocument/2006/relationships/hyperlink" Target="https://insurify.com/car-insurance/coverage/telematics/" TargetMode="External" Id="rId2" /><Relationship Type="http://schemas.openxmlformats.org/officeDocument/2006/relationships/hyperlink" Target="https://www.insuremojo.com/telematics-insurance-discount-programs/" TargetMode="External" Id="rId3" /><Relationship Type="http://schemas.openxmlformats.org/officeDocument/2006/relationships/hyperlink" Target="https://insurify.com/car-insurance/coverage/telematics/" TargetMode="External" Id="rId4" /><Relationship Type="http://schemas.openxmlformats.org/officeDocument/2006/relationships/hyperlink" Target="https://www.bankrate.com/insurance/car/are-telematics-programs-worth-the-discount/" TargetMode="External" Id="rId5" /><Relationship Type="http://schemas.openxmlformats.org/officeDocument/2006/relationships/hyperlink" Target="https://www.bankrate.com/insurance/car/are-telematics-programs-worth-the-discount/" TargetMode="External" Id="rId6" /><Relationship Type="http://schemas.openxmlformats.org/officeDocument/2006/relationships/hyperlink" Target="https://www.bankrate.com/insurance/car/are-telematics-programs-worth-the-discount/" TargetMode="External" Id="rId7" /><Relationship Type="http://schemas.openxmlformats.org/officeDocument/2006/relationships/hyperlink" Target="https://www.quoteyeti.com/blog/telematics-tradeoffs/" TargetMode="External" Id="rId8" /><Relationship Type="http://schemas.openxmlformats.org/officeDocument/2006/relationships/hyperlink" Target="https://www.dfs.ny.gov/consumers/auto_insurance/Auto_resource_center" TargetMode="External" Id="rId9" /><Relationship Type="http://schemas.openxmlformats.org/officeDocument/2006/relationships/hyperlink" Target="https://www.tdi.texas.gov/pubs/consumer/cb020.html" TargetMode="External" Id="rId10" /></Relationships>
</file>

<file path=xl/worksheets/_rels/sheet13.xml.rels><Relationships xmlns="http://schemas.openxmlformats.org/package/2006/relationships"><Relationship Type="http://schemas.openxmlformats.org/officeDocument/2006/relationships/hyperlink" Target="https://content.naic.org/sites/default/files/consumer-auto-shopping-tool.pdf" TargetMode="External" Id="rId1" /><Relationship Type="http://schemas.openxmlformats.org/officeDocument/2006/relationships/hyperlink" Target="https://thelendersnetwork.com/flood-insurance-mortgage-requirements/" TargetMode="External" Id="rId2" /><Relationship Type="http://schemas.openxmlformats.org/officeDocument/2006/relationships/hyperlink" Target="https://thelendersnetwork.com/flood-insurance-mortgage-requirements/" TargetMode="External" Id="rId3" /><Relationship Type="http://schemas.openxmlformats.org/officeDocument/2006/relationships/hyperlink" Target="https://thelendersnetwork.com/flood-insurance-mortgage-requirements/" TargetMode="External" Id="rId4" /><Relationship Type="http://schemas.openxmlformats.org/officeDocument/2006/relationships/hyperlink" Target="https://thelendersnetwork.com/flood-insurance-mortgage-requirements/" TargetMode="External" Id="rId5" /><Relationship Type="http://schemas.openxmlformats.org/officeDocument/2006/relationships/hyperlink" Target="https://walletgrower.com/insurance/homeowners-insurance/flood-insurance" TargetMode="External" Id="rId6" /><Relationship Type="http://schemas.openxmlformats.org/officeDocument/2006/relationships/hyperlink" Target="https://atesariskadvisors.com/blog/florida-private-flood-insurance-vs-nfip-2026" TargetMode="External" Id="rId7" /><Relationship Type="http://schemas.openxmlformats.org/officeDocument/2006/relationships/hyperlink" Target="https://www.congress.gov/crs-product/R49353" TargetMode="External" Id="rId8" /><Relationship Type="http://schemas.openxmlformats.org/officeDocument/2006/relationships/hyperlink" Target="https://walletgrower.com/insurance/homeowners-insurance/flood-insurance" TargetMode="External" Id="rId9" /><Relationship Type="http://schemas.openxmlformats.org/officeDocument/2006/relationships/hyperlink" Target="https://walletgrower.com/insurance/homeowners-insurance/flood-insurance" TargetMode="External" Id="rId10" /><Relationship Type="http://schemas.openxmlformats.org/officeDocument/2006/relationships/hyperlink" Target="https://www.earthquakeauthority.com/california-earthquake-insurance-policies/homeowners" TargetMode="External" Id="rId11" /><Relationship Type="http://schemas.openxmlformats.org/officeDocument/2006/relationships/hyperlink" Target="https://expressfinancial.net/p/earthquake-insurance-california" TargetMode="External" Id="rId12" /><Relationship Type="http://schemas.openxmlformats.org/officeDocument/2006/relationships/hyperlink" Target="https://www.earthquakeauthority.com/california-earthquake-insurance-policies/homeowners" TargetMode="External" Id="rId13" /><Relationship Type="http://schemas.openxmlformats.org/officeDocument/2006/relationships/hyperlink" Target="https://www.earthquakeauthority.com/california-earthquake-insurance-policies/homeowners" TargetMode="External" Id="rId14" /><Relationship Type="http://schemas.openxmlformats.org/officeDocument/2006/relationships/hyperlink" Target="https://expressfinancial.net/p/earthquake-insurance-california" TargetMode="External" Id="rId15" /><Relationship Type="http://schemas.openxmlformats.org/officeDocument/2006/relationships/hyperlink" Target="https://www.earthquakenearme.com/en/blog/earthquake-insurance-california" TargetMode="External" Id="rId16" /><Relationship Type="http://schemas.openxmlformats.org/officeDocument/2006/relationships/hyperlink" Target="https://www.earthquakenearme.com/en/blog/earthquake-insurance-california" TargetMode="External" Id="rId17" /><Relationship Type="http://schemas.openxmlformats.org/officeDocument/2006/relationships/hyperlink" Target="https://expressfinancial.net/p/earthquake-insurance-california" TargetMode="External" Id="rId18" /><Relationship Type="http://schemas.openxmlformats.org/officeDocument/2006/relationships/hyperlink" Target="https://www.nerdwallet.com/insurance/homeowners/learn/umbrella-insurance" TargetMode="External" Id="rId19" /><Relationship Type="http://schemas.openxmlformats.org/officeDocument/2006/relationships/hyperlink" Target="https://www.realcostreport.com/insurance/home-insurance/umbrella-insurance-cost/" TargetMode="External" Id="rId20" /><Relationship Type="http://schemas.openxmlformats.org/officeDocument/2006/relationships/hyperlink" Target="https://usecalcpro.com/finance/umbrella-insurance-quote-calculator" TargetMode="External" Id="rId21" /><Relationship Type="http://schemas.openxmlformats.org/officeDocument/2006/relationships/hyperlink" Target="https://www.kiplinger.com/personal-finance/insurance/umbrella-insurance/603237/how-much-umbrella-insurance-do-i-need" TargetMode="External" Id="rId22" /><Relationship Type="http://schemas.openxmlformats.org/officeDocument/2006/relationships/hyperlink" Target="https://www.realcostreport.com/insurance/home-insurance/umbrella-insurance-cost/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insurtool.com/tools/average-car-insurance-cost/" TargetMode="External" Id="rId1" /><Relationship Type="http://schemas.openxmlformats.org/officeDocument/2006/relationships/hyperlink" Target="https://insurify.com/car-insurance/report/" TargetMode="External" Id="rId2" /><Relationship Type="http://schemas.openxmlformats.org/officeDocument/2006/relationships/hyperlink" Target="https://www.valuepenguin.com/state-of-auto-insurance-2026" TargetMode="External" Id="rId3" /><Relationship Type="http://schemas.openxmlformats.org/officeDocument/2006/relationships/hyperlink" Target="https://cincoautoinsurance.com/auto-insurance/cost/" TargetMode="External" Id="rId4" /><Relationship Type="http://schemas.openxmlformats.org/officeDocument/2006/relationships/hyperlink" Target="https://www.experian.com/blogs/ask-experian/average-cost-car-insurance/" TargetMode="External" Id="rId5" /><Relationship Type="http://schemas.openxmlformats.org/officeDocument/2006/relationships/hyperlink" Target="https://cincoautoinsurance.com/auto-insurance/cost/" TargetMode="External" Id="rId6" /><Relationship Type="http://schemas.openxmlformats.org/officeDocument/2006/relationships/hyperlink" Target="https://www.insuredbetter.com/car-insurance/compare-auto-coverage/rate-cost/" TargetMode="External" Id="rId7" /><Relationship Type="http://schemas.openxmlformats.org/officeDocument/2006/relationships/hyperlink" Target="https://www.experian.com/blogs/ask-experian/average-cost-car-insurance/" TargetMode="External" Id="rId8" /><Relationship Type="http://schemas.openxmlformats.org/officeDocument/2006/relationships/hyperlink" Target="https://www.experian.com/blogs/ask-experian/average-cost-car-insurance/" TargetMode="External" Id="rId9" /><Relationship Type="http://schemas.openxmlformats.org/officeDocument/2006/relationships/hyperlink" Target="https://www.usnews.com/insurance/auto/average-cost-of-car-insurance" TargetMode="External" Id="rId10" /><Relationship Type="http://schemas.openxmlformats.org/officeDocument/2006/relationships/hyperlink" Target="https://www.nerdwallet.com/insurance/homeowners/learn/average-homeowners-insurance-cost" TargetMode="External" Id="rId11" /><Relationship Type="http://schemas.openxmlformats.org/officeDocument/2006/relationships/hyperlink" Target="https://insurify.com/homeowners-insurance/insights/rates-increase-first-half-2026/" TargetMode="External" Id="rId12" /><Relationship Type="http://schemas.openxmlformats.org/officeDocument/2006/relationships/hyperlink" Target="https://insurify.com/homeowners-insurance/insights/rates-increase-first-half-2026/" TargetMode="External" Id="rId13" /></Relationships>
</file>

<file path=xl/worksheets/_rels/sheet15.xml.rels><Relationships xmlns="http://schemas.openxmlformats.org/package/2006/relationships"><Relationship Type="http://schemas.openxmlformats.org/officeDocument/2006/relationships/hyperlink" Target="https://techsavvyinsurance.com/answers/which-states-adopted-naic-ai-model-bulletin/" TargetMode="External" Id="rId1" /><Relationship Type="http://schemas.openxmlformats.org/officeDocument/2006/relationships/hyperlink" Target="https://www.meilynx.com/reference/naic-ai-model-bulletin" TargetMode="External" Id="rId2" /><Relationship Type="http://schemas.openxmlformats.org/officeDocument/2006/relationships/hyperlink" Target="https://actuary.info/insights/ai-regulation-insurance-naic-2026" TargetMode="External" Id="rId3" /><Relationship Type="http://schemas.openxmlformats.org/officeDocument/2006/relationships/hyperlink" Target="https://www.leaddistro.ai/blog/one-to-one-consent" TargetMode="External" Id="rId4" /><Relationship Type="http://schemas.openxmlformats.org/officeDocument/2006/relationships/hyperlink" Target="https://www.getinsureleads.com/blog/fcc-one-to-one-consent-rule-status-update-2026" TargetMode="External" Id="rId5" /><Relationship Type="http://schemas.openxmlformats.org/officeDocument/2006/relationships/hyperlink" Target="https://www.congress.gov/crs-product/IN10835" TargetMode="External" Id="rId6" /><Relationship Type="http://schemas.openxmlformats.org/officeDocument/2006/relationships/hyperlink" Target="https://www.insurance.ca.gov/01-consumers/180-climate-change/SustainableInsuranceStrategy.cfm" TargetMode="External" Id="rId7" /><Relationship Type="http://schemas.openxmlformats.org/officeDocument/2006/relationships/hyperlink" Target="https://www.insurance.ca.gov/0400-news/0100-press-releases/2025/release079-2025.cfm" TargetMode="External" Id="rId8" /><Relationship Type="http://schemas.openxmlformats.org/officeDocument/2006/relationships/hyperlink" Target="https://www.vilesandbeckman.com/blog/did-florida-repeal-no-fault-insurance-the-pip-myths-and-the-facts-for-2026/" TargetMode="External" Id="rId9" /><Relationship Type="http://schemas.openxmlformats.org/officeDocument/2006/relationships/hyperlink" Target="https://www.tdi.texas.gov/pubs/consumer/cb020.html" TargetMode="External" Id="rId10" /><Relationship Type="http://schemas.openxmlformats.org/officeDocument/2006/relationships/hyperlink" Target="https://coverageclassroom.com/learn/citizens-flood-insurance-requirement" TargetMode="External" Id="rId11" /><Relationship Type="http://schemas.openxmlformats.org/officeDocument/2006/relationships/hyperlink" Target="https://www.insuremojo.com/telematics-insurance-data-privacy-bills-2026/" TargetMode="External" Id="rId12" /><Relationship Type="http://schemas.openxmlformats.org/officeDocument/2006/relationships/hyperlink" Target="https://www.carinsurance.com/Articles/minimum-liability-car-insurance-requirements-by-state.aspx" TargetMode="External" Id="rId13" /><Relationship Type="http://schemas.openxmlformats.org/officeDocument/2006/relationships/hyperlink" Target="https://www.moneygeek.com/insurance/auto/which-insurance-companies-dont-check-credit-score/" TargetMode="External" Id="rId14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thezebra.com/" TargetMode="External" Id="rId1" /><Relationship Type="http://schemas.openxmlformats.org/officeDocument/2006/relationships/hyperlink" Target="https://insurify.com/car-insurance/" TargetMode="External" Id="rId2" /><Relationship Type="http://schemas.openxmlformats.org/officeDocument/2006/relationships/hyperlink" Target="https://www.compare.com/auto-insurance/compare-insurance-companies/best-car-insurance-comparison-sites" TargetMode="External" Id="rId3" /><Relationship Type="http://schemas.openxmlformats.org/officeDocument/2006/relationships/hyperlink" Target="https://www.thezebra.com/auto-insurance/" TargetMode="External" Id="rId4" /><Relationship Type="http://schemas.openxmlformats.org/officeDocument/2006/relationships/hyperlink" Target="https://www.insurance.ca.gov/01-consumers/105-type/95-guides/01-auto/auto101.cfm" TargetMode="Externa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eico.com/save/discounts/defensive-driver-discounts/" TargetMode="External" Id="rId1" /><Relationship Type="http://schemas.openxmlformats.org/officeDocument/2006/relationships/hyperlink" Target="https://www.statefarm.com/insurance/auto/discounts" TargetMode="External" Id="rId2" /><Relationship Type="http://schemas.openxmlformats.org/officeDocument/2006/relationships/hyperlink" Target="https://insurify.com/car-insurance/report/" TargetMode="External" Id="rId3" /><Relationship Type="http://schemas.openxmlformats.org/officeDocument/2006/relationships/hyperlink" Target="https://insurify.com/homeowners-insurance/insights/rates-increase-first-half-2026/" TargetMode="External" Id="rId4" /><Relationship Type="http://schemas.openxmlformats.org/officeDocument/2006/relationships/hyperlink" Target="https://insurify.com/car-insurance/coverage/telematics/" TargetMode="External" Id="rId5" /><Relationship Type="http://schemas.openxmlformats.org/officeDocument/2006/relationships/hyperlink" Target="https://www.thezebra.com/resources/research/car-insurance-rating-factors-by-state/" TargetMode="External" Id="rId6" /><Relationship Type="http://schemas.openxmlformats.org/officeDocument/2006/relationships/hyperlink" Target="https://www.autoinsurance.org/car-insurance-requirements/" TargetMode="External" Id="rId7" /><Relationship Type="http://schemas.openxmlformats.org/officeDocument/2006/relationships/hyperlink" Target="https://www.bankrate.com/insurance/car/are-telematics-programs-worth-the-discount/" TargetMode="External" Id="rId8" /><Relationship Type="http://schemas.openxmlformats.org/officeDocument/2006/relationships/hyperlink" Target="https://www.cnbc.com/2026/04/26/insurance-rates-credit-history.html" TargetMode="External" Id="rId9" /><Relationship Type="http://schemas.openxmlformats.org/officeDocument/2006/relationships/hyperlink" Target="https://www.cnbc.com/select/state-minimum-car-insurance-requirements/" TargetMode="External" Id="rId10" /><Relationship Type="http://schemas.openxmlformats.org/officeDocument/2006/relationships/hyperlink" Target="https://www.carinsurance.com/Articles/minimum-liability-car-insurance-requirements-by-state.aspx" TargetMode="External" Id="rId11" /><Relationship Type="http://schemas.openxmlformats.org/officeDocument/2006/relationships/hyperlink" Target="https://www.experian.com/blogs/ask-experian/average-cost-car-insurance/" TargetMode="External" Id="rId12" /><Relationship Type="http://schemas.openxmlformats.org/officeDocument/2006/relationships/hyperlink" Target="https://www.experian.com/blogs/ask-experian/which-states-prohibit-or-restrict-the-use-of-credit-based-insurance-scores/" TargetMode="External" Id="rId13" /><Relationship Type="http://schemas.openxmlformats.org/officeDocument/2006/relationships/hyperlink" Target="https://www.insurance.com/auto-insurance/car-insurance-discounts.html" TargetMode="External" Id="rId14" /><Relationship Type="http://schemas.openxmlformats.org/officeDocument/2006/relationships/hyperlink" Target="https://insurancenewsnet.com/oarticle/california-fair-plan-rates-going-up-29-1-in-late-2026" TargetMode="External" Id="rId15" /><Relationship Type="http://schemas.openxmlformats.org/officeDocument/2006/relationships/hyperlink" Target="https://www.kqed.org/news/12094860/california-fair-plan-announces-29-1-rate-hike-for-homeowners-this-fall" TargetMode="External" Id="rId16" /><Relationship Type="http://schemas.openxmlformats.org/officeDocument/2006/relationships/hyperlink" Target="https://www.kiplinger.com/personal-finance/insurance/umbrella-insurance/603237/how-much-umbrella-insurance-do-i-need" TargetMode="External" Id="rId17" /><Relationship Type="http://schemas.openxmlformats.org/officeDocument/2006/relationships/hyperlink" Target="https://www.moneygeek.com/insurance/auto/defensive-driver-courses/" TargetMode="External" Id="rId18" /><Relationship Type="http://schemas.openxmlformats.org/officeDocument/2006/relationships/hyperlink" Target="https://www.moneygeek.com/insurance/auto/which-insurance-companies-dont-check-credit-score/" TargetMode="External" Id="rId19" /><Relationship Type="http://schemas.openxmlformats.org/officeDocument/2006/relationships/hyperlink" Target="https://www.nerdwallet.com/insurance/homeowners/learn/average-homeowners-insurance-cost" TargetMode="External" Id="rId20" /><Relationship Type="http://schemas.openxmlformats.org/officeDocument/2006/relationships/hyperlink" Target="https://www.nerdwallet.com/insurance/homeowners/learn/umbrella-insurance" TargetMode="External" Id="rId21" /><Relationship Type="http://schemas.openxmlformats.org/officeDocument/2006/relationships/hyperlink" Target="https://www.newsweek.com/where-your-credit-score-can-cant-raise-insurance-costs-11885672" TargetMode="External" Id="rId22" /><Relationship Type="http://schemas.openxmlformats.org/officeDocument/2006/relationships/hyperlink" Target="https://media.rff.org/documents/WP_25-30.pdf" TargetMode="External" Id="rId23" /><Relationship Type="http://schemas.openxmlformats.org/officeDocument/2006/relationships/hyperlink" Target="https://www.usnews.com/insurance/auto/average-cost-of-car-insurance" TargetMode="External" Id="rId24" /><Relationship Type="http://schemas.openxmlformats.org/officeDocument/2006/relationships/hyperlink" Target="https://uphelp.org/should-states-ban-credit-based-insurance-scoring/" TargetMode="External" Id="rId25" /><Relationship Type="http://schemas.openxmlformats.org/officeDocument/2006/relationships/hyperlink" Target="https://www.valuepenguin.com/state-of-auto-insurance-2026" TargetMode="External" Id="rId26" /><Relationship Type="http://schemas.openxmlformats.org/officeDocument/2006/relationships/hyperlink" Target="https://www.law.cornell.edu/regulations/california/10-CCR-2632.12" TargetMode="External" Id="rId27" /><Relationship Type="http://schemas.openxmlformats.org/officeDocument/2006/relationships/hyperlink" Target="https://www.law.cornell.edu/regulations/california/10-CCR-2632.5" TargetMode="External" Id="rId28" /><Relationship Type="http://schemas.openxmlformats.org/officeDocument/2006/relationships/hyperlink" Target="https://www.dmv.ca.gov/portal/vehicle-registration/insurance-requirements/" TargetMode="External" Id="rId29" /><Relationship Type="http://schemas.openxmlformats.org/officeDocument/2006/relationships/hyperlink" Target="https://www.insurance.ca.gov/01-consumers/105-type/95-guides/03-res/eq-ins.cfm" TargetMode="External" Id="rId30" /><Relationship Type="http://schemas.openxmlformats.org/officeDocument/2006/relationships/hyperlink" Target="https://www.insurance.ca.gov/01-consumers/140-catastrophes/FloodFacts.cfm" TargetMode="External" Id="rId31" /><Relationship Type="http://schemas.openxmlformats.org/officeDocument/2006/relationships/hyperlink" Target="https://www.insurance.ca.gov/01-consumers/105-type/95-guides/upload/Homeowners-Insurance-Updated-121924.pdf" TargetMode="External" Id="rId32" /><Relationship Type="http://schemas.openxmlformats.org/officeDocument/2006/relationships/hyperlink" Target="https://www.insurance.ca.gov/01-consumers/105-type/95-guides/01-auto/auto101.cfm" TargetMode="External" Id="rId33" /><Relationship Type="http://schemas.openxmlformats.org/officeDocument/2006/relationships/hyperlink" Target="https://www.insurance.ca.gov/0400-news/0102-alerts/2024/California-s-Low-Cost-Auto-Insurance.cfm" TargetMode="External" Id="rId34" /><Relationship Type="http://schemas.openxmlformats.org/officeDocument/2006/relationships/hyperlink" Target="https://www.insurance.ca.gov/01-consumers/105-type/95-guides/03-res/res-ins-guide.cfm" TargetMode="External" Id="rId35" /><Relationship Type="http://schemas.openxmlformats.org/officeDocument/2006/relationships/hyperlink" Target="https://www.insurance.ca.gov/01-consumers/200-wrr/Safer-from-Wildfires.cfm" TargetMode="External" Id="rId36" /><Relationship Type="http://schemas.openxmlformats.org/officeDocument/2006/relationships/hyperlink" Target="https://www.insurance.ca.gov/01-consumers/180-climate-change/SustainableInsuranceStrategy.cfm" TargetMode="External" Id="rId37" /><Relationship Type="http://schemas.openxmlformats.org/officeDocument/2006/relationships/hyperlink" Target="https://law.justia.com/codes/california/code-ins/division-2/part-1/chapter-8-5/section-10083/" TargetMode="External" Id="rId38" /><Relationship Type="http://schemas.openxmlformats.org/officeDocument/2006/relationships/hyperlink" Target="https://codes.findlaw.com/ca/insurance-code/ins-sect-11628-3/" TargetMode="External" Id="rId39" /><Relationship Type="http://schemas.openxmlformats.org/officeDocument/2006/relationships/hyperlink" Target="https://law.justia.com/codes/california/code-ins/division-1/part-2/chapter-9/article-10/section-1861-025/" TargetMode="External" Id="rId40" /><Relationship Type="http://schemas.openxmlformats.org/officeDocument/2006/relationships/hyperlink" Target="https://www.insurance.ca.gov/0250-insurers/0300-insurers/0200-bulletins/bulletin-notices-commiss-opinion/upload/Advisory-Notice-2005-02.pdf" TargetMode="External" Id="rId41" /><Relationship Type="http://schemas.openxmlformats.org/officeDocument/2006/relationships/hyperlink" Target="https://www.insurance.ca.gov/0400-news/0100-press-releases/2025/release079-2025.cfm" TargetMode="External" Id="rId42" /><Relationship Type="http://schemas.openxmlformats.org/officeDocument/2006/relationships/hyperlink" Target="https://www.insurance.ca.gov/0400-news/0100-press-releases/2019/release089-19.cfm" TargetMode="External" Id="rId43" /><Relationship Type="http://schemas.openxmlformats.org/officeDocument/2006/relationships/hyperlink" Target="https://www.congress.gov/crs-product/R49353" TargetMode="External" Id="rId44" /><Relationship Type="http://schemas.openxmlformats.org/officeDocument/2006/relationships/hyperlink" Target="https://www.congress.gov/crs-product/IN10835" TargetMode="External" Id="rId45" /><Relationship Type="http://schemas.openxmlformats.org/officeDocument/2006/relationships/hyperlink" Target="https://www.earthquakeauthority.com/california-earthquake-insurance-policies/homeowners" TargetMode="External" Id="rId46" /><Relationship Type="http://schemas.openxmlformats.org/officeDocument/2006/relationships/hyperlink" Target="https://www.myfloridacfo.com/division/consumers/consumerprotections/floridashurricanedeductible" TargetMode="External" Id="rId47" /><Relationship Type="http://schemas.openxmlformats.org/officeDocument/2006/relationships/hyperlink" Target="https://www.flhsmv.gov/insurance/" TargetMode="External" Id="rId48" /><Relationship Type="http://schemas.openxmlformats.org/officeDocument/2006/relationships/hyperlink" Target="https://www.flsenate.gov/Laws/Statutes/2025/0626.9741" TargetMode="External" Id="rId49" /><Relationship Type="http://schemas.openxmlformats.org/officeDocument/2006/relationships/hyperlink" Target="https://flsenate.gov/Laws/Statutes/2003/627.06501" TargetMode="External" Id="rId50" /><Relationship Type="http://schemas.openxmlformats.org/officeDocument/2006/relationships/hyperlink" Target="https://www.flsenate.gov/laws/statutes/2012/627.0652" TargetMode="External" Id="rId51" /><Relationship Type="http://schemas.openxmlformats.org/officeDocument/2006/relationships/hyperlink" Target="https://codes.findlaw.com/fl/title-xxxvii-insurance/fl-st-sect-627-701/" TargetMode="External" Id="rId52" /><Relationship Type="http://schemas.openxmlformats.org/officeDocument/2006/relationships/hyperlink" Target="https://law.justia.com/codes/florida/title-xxxvii/chapter-627/part-xi/section-627-728/" TargetMode="External" Id="rId53" /><Relationship Type="http://schemas.openxmlformats.org/officeDocument/2006/relationships/hyperlink" Target="https://www.flsenate.gov/Laws/Statutes/2022/Chapter324/All" TargetMode="External" Id="rId54" /><Relationship Type="http://schemas.openxmlformats.org/officeDocument/2006/relationships/hyperlink" Target="https://www.flsenate.gov/Laws/Statutes/2025/Chapter627/All" TargetMode="External" Id="rId55" /><Relationship Type="http://schemas.openxmlformats.org/officeDocument/2006/relationships/hyperlink" Target="https://content.naic.org/sites/default/files/consumer-auto-shopping-tool.pdf" TargetMode="External" Id="rId56" /><Relationship Type="http://schemas.openxmlformats.org/officeDocument/2006/relationships/hyperlink" Target="https://www.dfs.ny.gov/faqs/consumer-auto/how-much-auto-insurance-must-i-carry" TargetMode="External" Id="rId57" /><Relationship Type="http://schemas.openxmlformats.org/officeDocument/2006/relationships/hyperlink" Target="https://www.dfs.ny.gov/consumers/auto_insurance/discounts_list" TargetMode="External" Id="rId58" /><Relationship Type="http://schemas.openxmlformats.org/officeDocument/2006/relationships/hyperlink" Target="https://www.dfs.ny.gov/consumers/auto_insurance/Auto_resource_center" TargetMode="External" Id="rId59" /><Relationship Type="http://schemas.openxmlformats.org/officeDocument/2006/relationships/hyperlink" Target="https://leginfo.legislature.ca.gov/faces/billNavClient.xhtml?bill_id=202120220SB1107" TargetMode="External" Id="rId60" /><Relationship Type="http://schemas.openxmlformats.org/officeDocument/2006/relationships/hyperlink" Target="https://www.twia.org/flood-requirement/" TargetMode="External" Id="rId61" /><Relationship Type="http://schemas.openxmlformats.org/officeDocument/2006/relationships/hyperlink" Target="https://www.tdi.texas.gov/pubs/consumer/cb020.html" TargetMode="External" Id="rId62" /><Relationship Type="http://schemas.openxmlformats.org/officeDocument/2006/relationships/hyperlink" Target="https://tdi.texas.gov/blog/category/home-property.html" TargetMode="External" Id="rId63" /><Relationship Type="http://schemas.openxmlformats.org/officeDocument/2006/relationships/hyperlink" Target="https://www.tdi.texas.gov/pubs/consumer/cb025.html" TargetMode="External" Id="rId64" /><Relationship Type="http://schemas.openxmlformats.org/officeDocument/2006/relationships/hyperlink" Target="https://www.tdi.texas.gov/general/texas-homeowners-insurance-market-overview.html" TargetMode="External" Id="rId65" /><Relationship Type="http://schemas.openxmlformats.org/officeDocument/2006/relationships/hyperlink" Target="https://aegivra.com/guides/texas-homeowners-insurance-guide" TargetMode="External" Id="rId66" /><Relationship Type="http://schemas.openxmlformats.org/officeDocument/2006/relationships/hyperlink" Target="https://www.ashmorelaw.com/blog/car-insurance-do-you-have-enough-.cfm" TargetMode="External" Id="rId67" /><Relationship Type="http://schemas.openxmlformats.org/officeDocument/2006/relationships/hyperlink" Target="https://atesariskadvisors.com/blog/florida-private-flood-insurance-vs-nfip-2026" TargetMode="External" Id="rId68" /><Relationship Type="http://schemas.openxmlformats.org/officeDocument/2006/relationships/hyperlink" Target="https://beachinsurancellc.com/blog/state-minimum-car-insurance-requirements-for-2026-your-essential-guide" TargetMode="External" Id="rId69" /><Relationship Type="http://schemas.openxmlformats.org/officeDocument/2006/relationships/hyperlink" Target="https://www.cigflorida.com/policy-updates-for-florida-homeowners/" TargetMode="External" Id="rId70" /><Relationship Type="http://schemas.openxmlformats.org/officeDocument/2006/relationships/hyperlink" Target="https://cincoautoinsurance.com/auto-insurance/cost/" TargetMode="External" Id="rId71" /><Relationship Type="http://schemas.openxmlformats.org/officeDocument/2006/relationships/hyperlink" Target="https://coverageclassroom.com/learn/citizens-flood-insurance-requirement" TargetMode="External" Id="rId72" /><Relationship Type="http://schemas.openxmlformats.org/officeDocument/2006/relationships/hyperlink" Target="https://coverageclassroom.com/learn/hurricane-insurance-florida-guide" TargetMode="External" Id="rId73" /><Relationship Type="http://schemas.openxmlformats.org/officeDocument/2006/relationships/hyperlink" Target="https://coveragecriteria.com/articles/minimum-auto-insurance-by-state" TargetMode="External" Id="rId74" /><Relationship Type="http://schemas.openxmlformats.org/officeDocument/2006/relationships/hyperlink" Target="https://www.earthquakenearme.com/en/blog/earthquake-insurance-california" TargetMode="External" Id="rId75" /><Relationship Type="http://schemas.openxmlformats.org/officeDocument/2006/relationships/hyperlink" Target="https://expressfinancial.net/p/earthquake-insurance-california" TargetMode="External" Id="rId76" /><Relationship Type="http://schemas.openxmlformats.org/officeDocument/2006/relationships/hyperlink" Target="https://insurtool.com/tools/average-car-insurance-cost/" TargetMode="External" Id="rId77" /><Relationship Type="http://schemas.openxmlformats.org/officeDocument/2006/relationships/hyperlink" Target="https://www.insurancegeek.com/auto-insurance/state-minimum-car-insurance-limits/" TargetMode="External" Id="rId78" /><Relationship Type="http://schemas.openxmlformats.org/officeDocument/2006/relationships/hyperlink" Target="https://www.getinsureleads.com/blog/fcc-one-to-one-consent-rule-status-update-2026" TargetMode="External" Id="rId79" /><Relationship Type="http://schemas.openxmlformats.org/officeDocument/2006/relationships/hyperlink" Target="https://www.insuremojo.com/telematics-insurance-discount-programs/" TargetMode="External" Id="rId80" /><Relationship Type="http://schemas.openxmlformats.org/officeDocument/2006/relationships/hyperlink" Target="https://www.insuremojo.com/telematics-insurance-data-privacy-bills-2026/" TargetMode="External" Id="rId81" /><Relationship Type="http://schemas.openxmlformats.org/officeDocument/2006/relationships/hyperlink" Target="https://www.insuredbetter.com/car-insurance/compare-auto-coverage/rate-cost/" TargetMode="External" Id="rId82" /><Relationship Type="http://schemas.openxmlformats.org/officeDocument/2006/relationships/hyperlink" Target="https://www.latentinsure.com/texas-homeowners-insurance/twia" TargetMode="External" Id="rId83" /><Relationship Type="http://schemas.openxmlformats.org/officeDocument/2006/relationships/hyperlink" Target="https://www.leaddistro.ai/blog/one-to-one-consent" TargetMode="External" Id="rId84" /><Relationship Type="http://schemas.openxmlformats.org/officeDocument/2006/relationships/hyperlink" Target="https://thelendersnetwork.com/flood-insurance-mortgage-requirements/" TargetMode="External" Id="rId85" /><Relationship Type="http://schemas.openxmlformats.org/officeDocument/2006/relationships/hyperlink" Target="https://www.meilynx.com/reference/naic-ai-model-bulletin" TargetMode="External" Id="rId86" /><Relationship Type="http://schemas.openxmlformats.org/officeDocument/2006/relationships/hyperlink" Target="https://www.quoteyeti.com/blog/telematics-tradeoffs/" TargetMode="External" Id="rId87" /><Relationship Type="http://schemas.openxmlformats.org/officeDocument/2006/relationships/hyperlink" Target="https://www.realcostreport.com/insurance/home-insurance/umbrella-insurance-cost/" TargetMode="External" Id="rId88" /><Relationship Type="http://schemas.openxmlformats.org/officeDocument/2006/relationships/hyperlink" Target="https://www.safedriver.com/news/defensive-driving-for-insurance-discount-2026-how-much-you-can-really-save" TargetMode="External" Id="rId89" /><Relationship Type="http://schemas.openxmlformats.org/officeDocument/2006/relationships/hyperlink" Target="https://techsavvyinsurance.com/answers/which-states-adopted-naic-ai-model-bulletin/" TargetMode="External" Id="rId90" /><Relationship Type="http://schemas.openxmlformats.org/officeDocument/2006/relationships/hyperlink" Target="https://usecalcpro.com/finance/umbrella-insurance-quote-calculator" TargetMode="External" Id="rId91" /><Relationship Type="http://schemas.openxmlformats.org/officeDocument/2006/relationships/hyperlink" Target="https://www.vilesandbeckman.com/blog/did-florida-repeal-no-fault-insurance-the-pip-myths-and-the-facts-for-2026/" TargetMode="External" Id="rId92" /><Relationship Type="http://schemas.openxmlformats.org/officeDocument/2006/relationships/hyperlink" Target="https://walletgrower.com/insurance/homeowners-insurance/flood-insurance" TargetMode="External" Id="rId93" /><Relationship Type="http://schemas.openxmlformats.org/officeDocument/2006/relationships/hyperlink" Target="https://actuary.info/insights/ai-regulation-insurance-naic-2026" TargetMode="External" Id="rId9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8" min="1" max="1"/>
    <col width="22" customWidth="1" style="28" min="2" max="6"/>
  </cols>
  <sheetData>
    <row r="1" ht="17.35" customHeight="1" s="29">
      <c r="A1" s="30" t="inlineStr">
        <is>
          <t>Insurance Comparison Platform - Reference Data Workbook</t>
        </is>
      </c>
    </row>
    <row r="3" ht="45" customHeight="1" s="29">
      <c r="A3" s="31" t="inlineStr">
        <is>
          <t>Purpose</t>
        </is>
      </c>
      <c r="B3" s="32" t="inlineStr">
        <is>
          <t>Structured reference data from research through October 1, 2026 (California auto and home; Texas, Florida and New York auto; Texas, Florida and New York home verified from primary sources; California home credit-use rules still open) for the U.S. auto and home insurance education/comparison project.</t>
        </is>
      </c>
    </row>
    <row r="4" ht="15" customHeight="1" s="29">
      <c r="A4" s="31" t="inlineStr">
        <is>
          <t>As-of date</t>
        </is>
      </c>
      <c r="B4" s="33" t="n">
        <v>46296</v>
      </c>
    </row>
    <row r="5" ht="45" customHeight="1" s="29">
      <c r="A5" s="31" t="inlineStr">
        <is>
          <t>Important</t>
        </is>
      </c>
      <c r="B5" s="32" t="inlineStr">
        <is>
          <t>This is reference data, not insurer quotes or advice. Most entries come from secondary sources and must be checked against state DOI, statute or carrier filings before use on a live site.</t>
        </is>
      </c>
    </row>
    <row r="6" ht="45" customHeight="1" s="29">
      <c r="A6" s="31" t="inlineStr">
        <is>
          <t>How to edit</t>
        </is>
      </c>
      <c r="B6" s="32" t="inlineStr">
        <is>
          <t>Edit any cell in the data tabs. Add new rows at the bottom, keep the standard columns filled, and set Verification Status from the dropdown.</t>
        </is>
      </c>
    </row>
    <row r="7" ht="45" customHeight="1" s="29">
      <c r="A7" s="31" t="inlineStr">
        <is>
          <t>Standard columns</t>
        </is>
      </c>
      <c r="B7" s="32" t="inlineStr">
        <is>
          <t>Every data tab ends with: Source, Source URL, Date Collected, Geographic Scope, Data Type, Verification Status, Last Updated, Notes.</t>
        </is>
      </c>
    </row>
    <row r="9" ht="15" customHeight="1" s="29">
      <c r="A9" s="31" t="inlineStr">
        <is>
          <t>Verification Status legend</t>
        </is>
      </c>
    </row>
    <row r="10" ht="30" customHeight="1" s="29">
      <c r="A10" s="34" t="inlineStr">
        <is>
          <t>Primary source</t>
        </is>
      </c>
      <c r="B10" s="32" t="inlineStr">
        <is>
          <t>From a regulator, government body or the carrier's own published terms. Still confirm it is current.</t>
        </is>
      </c>
    </row>
    <row r="11" ht="30" customHeight="1" s="29">
      <c r="A11" s="35" t="inlineStr">
        <is>
          <t>Secondary - unverified</t>
        </is>
      </c>
      <c r="B11" s="32" t="inlineStr">
        <is>
          <t>From a comparison site, publisher or blog. Treat as a lead to verify, not a fact to publish.</t>
        </is>
      </c>
    </row>
    <row r="12" ht="30" customHeight="1" s="29">
      <c r="A12" s="36" t="inlineStr">
        <is>
          <t>Conflicting</t>
        </is>
      </c>
      <c r="B12" s="32" t="inlineStr">
        <is>
          <t>Sources disagree. See Conflicts Log.</t>
        </is>
      </c>
    </row>
    <row r="13" ht="30" customHeight="1" s="29">
      <c r="A13" s="37" t="inlineStr">
        <is>
          <t>Not researched</t>
        </is>
      </c>
      <c r="B13" s="32" t="inlineStr">
        <is>
          <t>Placeholder row; nothing researched yet.</t>
        </is>
      </c>
    </row>
    <row r="15" ht="15" customHeight="1" s="29">
      <c r="A15" s="31" t="inlineStr">
        <is>
          <t>Status count by tab (live formulas)</t>
        </is>
      </c>
    </row>
    <row r="16" ht="15" customHeight="1" s="29">
      <c r="A16" s="38" t="inlineStr">
        <is>
          <t>Tab</t>
        </is>
      </c>
      <c r="B16" s="38" t="inlineStr">
        <is>
          <t>Primary source</t>
        </is>
      </c>
      <c r="C16" s="38" t="inlineStr">
        <is>
          <t>Secondary - unverified</t>
        </is>
      </c>
      <c r="D16" s="38" t="inlineStr">
        <is>
          <t>Conflicting</t>
        </is>
      </c>
      <c r="E16" s="38" t="inlineStr">
        <is>
          <t>Not researched</t>
        </is>
      </c>
      <c r="F16" s="38" t="inlineStr">
        <is>
          <t>Total rows</t>
        </is>
      </c>
    </row>
    <row r="17" ht="15" customHeight="1" s="29">
      <c r="A17" s="39" t="inlineStr">
        <is>
          <t>State Min Limits</t>
        </is>
      </c>
      <c r="B17" s="39">
        <f>COUNTIF('State Min Limits'!$N$2:$N$500,"Primary source")</f>
        <v/>
      </c>
      <c r="C17" s="39">
        <f>COUNTIF('State Min Limits'!$N$2:$N$500,"Secondary - unverified")</f>
        <v/>
      </c>
      <c r="D17" s="39">
        <f>COUNTIF('State Min Limits'!$N$2:$N$500,"Conflicting")</f>
        <v/>
      </c>
      <c r="E17" s="39">
        <f>COUNTIF('State Min Limits'!$N$2:$N$500,"Not researched")</f>
        <v/>
      </c>
      <c r="F17" s="39">
        <f>SUM(B17:E17)</f>
        <v/>
      </c>
    </row>
    <row r="18" ht="15" customHeight="1" s="29">
      <c r="A18" s="39" t="inlineStr">
        <is>
          <t>Rating Factors</t>
        </is>
      </c>
      <c r="B18" s="39">
        <f>COUNTIF('Rating Factors'!$L$2:$L$500,"Primary source")</f>
        <v/>
      </c>
      <c r="C18" s="39">
        <f>COUNTIF('Rating Factors'!$L$2:$L$500,"Secondary - unverified")</f>
        <v/>
      </c>
      <c r="D18" s="39">
        <f>COUNTIF('Rating Factors'!$L$2:$L$500,"Conflicting")</f>
        <v/>
      </c>
      <c r="E18" s="39">
        <f>COUNTIF('Rating Factors'!$L$2:$L$500,"Not researched")</f>
        <v/>
      </c>
      <c r="F18" s="39">
        <f>SUM(B18:E18)</f>
        <v/>
      </c>
    </row>
    <row r="19" ht="15" customHeight="1" s="29">
      <c r="A19" s="39" t="inlineStr">
        <is>
          <t>Discounts</t>
        </is>
      </c>
      <c r="B19" s="39">
        <f>COUNTIF(Discounts!$K$2:$K$500,"Primary source")</f>
        <v/>
      </c>
      <c r="C19" s="39">
        <f>COUNTIF(Discounts!$K$2:$K$500,"Secondary - unverified")</f>
        <v/>
      </c>
      <c r="D19" s="39">
        <f>COUNTIF(Discounts!$K$2:$K$500,"Conflicting")</f>
        <v/>
      </c>
      <c r="E19" s="39">
        <f>COUNTIF(Discounts!$K$2:$K$500,"Not researched")</f>
        <v/>
      </c>
      <c r="F19" s="39">
        <f>SUM(B19:E19)</f>
        <v/>
      </c>
    </row>
    <row r="20" ht="15" customHeight="1" s="29">
      <c r="A20" s="39" t="inlineStr">
        <is>
          <t>Telematics</t>
        </is>
      </c>
      <c r="B20" s="39">
        <f>COUNTIF(Telematics!$M$2:$M$500,"Primary source")</f>
        <v/>
      </c>
      <c r="C20" s="39">
        <f>COUNTIF(Telematics!$M$2:$M$500,"Secondary - unverified")</f>
        <v/>
      </c>
      <c r="D20" s="39">
        <f>COUNTIF(Telematics!$M$2:$M$500,"Conflicting")</f>
        <v/>
      </c>
      <c r="E20" s="39">
        <f>COUNTIF(Telematics!$M$2:$M$500,"Not researched")</f>
        <v/>
      </c>
      <c r="F20" s="39">
        <f>SUM(B20:E20)</f>
        <v/>
      </c>
    </row>
    <row r="21" ht="15" customHeight="1" s="29">
      <c r="A21" s="39" t="inlineStr">
        <is>
          <t>Coverage Details</t>
        </is>
      </c>
      <c r="B21" s="39">
        <f>COUNTIF('Coverage Details'!$J$2:$J$500,"Primary source")</f>
        <v/>
      </c>
      <c r="C21" s="39">
        <f>COUNTIF('Coverage Details'!$J$2:$J$500,"Secondary - unverified")</f>
        <v/>
      </c>
      <c r="D21" s="39">
        <f>COUNTIF('Coverage Details'!$J$2:$J$500,"Conflicting")</f>
        <v/>
      </c>
      <c r="E21" s="39">
        <f>COUNTIF('Coverage Details'!$J$2:$J$500,"Not researched")</f>
        <v/>
      </c>
      <c r="F21" s="39">
        <f>SUM(B21:E21)</f>
        <v/>
      </c>
    </row>
    <row r="22" ht="15" customHeight="1" s="29">
      <c r="A22" s="39" t="inlineStr">
        <is>
          <t>Price Benchmarks</t>
        </is>
      </c>
      <c r="B22" s="39">
        <f>COUNTIF('Price Benchmarks'!$K$2:$K$500,"Primary source")</f>
        <v/>
      </c>
      <c r="C22" s="39">
        <f>COUNTIF('Price Benchmarks'!$K$2:$K$500,"Secondary - unverified")</f>
        <v/>
      </c>
      <c r="D22" s="39">
        <f>COUNTIF('Price Benchmarks'!$K$2:$K$500,"Conflicting")</f>
        <v/>
      </c>
      <c r="E22" s="39">
        <f>COUNTIF('Price Benchmarks'!$K$2:$K$500,"Not researched")</f>
        <v/>
      </c>
      <c r="F22" s="39">
        <f>SUM(B22:E22)</f>
        <v/>
      </c>
    </row>
    <row r="23" ht="15" customHeight="1" s="29">
      <c r="A23" s="39" t="inlineStr">
        <is>
          <t>Regulatory Watch</t>
        </is>
      </c>
      <c r="B23" s="39">
        <f>COUNTIF('Regulatory Watch'!$J$2:$J$500,"Primary source")</f>
        <v/>
      </c>
      <c r="C23" s="39">
        <f>COUNTIF('Regulatory Watch'!$J$2:$J$500,"Secondary - unverified")</f>
        <v/>
      </c>
      <c r="D23" s="39">
        <f>COUNTIF('Regulatory Watch'!$J$2:$J$500,"Conflicting")</f>
        <v/>
      </c>
      <c r="E23" s="39">
        <f>COUNTIF('Regulatory Watch'!$J$2:$J$500,"Not researched")</f>
        <v/>
      </c>
      <c r="F23" s="39">
        <f>SUM(B23:E23)</f>
        <v/>
      </c>
    </row>
    <row r="24" ht="15" customHeight="1" s="29">
      <c r="A24" s="39" t="inlineStr">
        <is>
          <t>CA Auto Verified</t>
        </is>
      </c>
      <c r="B24" s="39">
        <f>COUNTIF('CA Auto Verified'!$J$2:$J$500,"Primary source")</f>
        <v/>
      </c>
      <c r="C24" s="39">
        <f>COUNTIF('CA Auto Verified'!$J$2:$J$500,"Secondary - unverified")</f>
        <v/>
      </c>
      <c r="D24" s="39">
        <f>COUNTIF('CA Auto Verified'!$J$2:$J$500,"Conflicting")</f>
        <v/>
      </c>
      <c r="E24" s="39">
        <f>COUNTIF('CA Auto Verified'!$J$2:$J$500,"Not researched")</f>
        <v/>
      </c>
      <c r="F24" s="39">
        <f>SUM(B24:E24)</f>
        <v/>
      </c>
    </row>
    <row r="25" ht="15" customHeight="1" s="29">
      <c r="A25" s="39" t="inlineStr">
        <is>
          <t>CA Home Verified</t>
        </is>
      </c>
      <c r="B25" s="39">
        <f>COUNTIF('CA Home Verified'!$J$2:$J$500,"Primary source")</f>
        <v/>
      </c>
      <c r="C25" s="39">
        <f>COUNTIF('CA Home Verified'!$J$2:$J$500,"Secondary - unverified")</f>
        <v/>
      </c>
      <c r="D25" s="39">
        <f>COUNTIF('CA Home Verified'!$J$2:$J$500,"Conflicting")</f>
        <v/>
      </c>
      <c r="E25" s="39">
        <f>COUNTIF('CA Home Verified'!$J$2:$J$500,"Not researched")</f>
        <v/>
      </c>
      <c r="F25" s="39">
        <f>SUM(B25:E25)</f>
        <v/>
      </c>
    </row>
    <row r="26" ht="15" customHeight="1" s="29">
      <c r="A26" s="39" t="inlineStr">
        <is>
          <t>TX Auto Verified</t>
        </is>
      </c>
      <c r="B26" s="39">
        <f>COUNTIF('TX Auto Verified'!$J$2:$J$500,"Primary source")</f>
        <v/>
      </c>
      <c r="C26" s="39">
        <f>COUNTIF('TX Auto Verified'!$J$2:$J$500,"Secondary - unverified")</f>
        <v/>
      </c>
      <c r="D26" s="39">
        <f>COUNTIF('TX Auto Verified'!$J$2:$J$500,"Conflicting")</f>
        <v/>
      </c>
      <c r="E26" s="39">
        <f>COUNTIF('TX Auto Verified'!$J$2:$J$500,"Not researched")</f>
        <v/>
      </c>
      <c r="F26" s="39">
        <f>SUM(B26:E26)</f>
        <v/>
      </c>
    </row>
    <row r="27" ht="15" customHeight="1" s="29">
      <c r="A27" s="39" t="inlineStr">
        <is>
          <t>FL Auto Verified</t>
        </is>
      </c>
      <c r="B27" s="39">
        <f>COUNTIF('FL Auto Verified'!$J$2:$J$500,"Primary source")</f>
        <v/>
      </c>
      <c r="C27" s="39">
        <f>COUNTIF('FL Auto Verified'!$J$2:$J$500,"Secondary - unverified")</f>
        <v/>
      </c>
      <c r="D27" s="39">
        <f>COUNTIF('FL Auto Verified'!$J$2:$J$500,"Conflicting")</f>
        <v/>
      </c>
      <c r="E27" s="39">
        <f>COUNTIF('FL Auto Verified'!$J$2:$J$500,"Not researched")</f>
        <v/>
      </c>
      <c r="F27" s="39">
        <f>SUM(B27:E27)</f>
        <v/>
      </c>
    </row>
    <row r="28" ht="15" customHeight="1" s="29">
      <c r="A28" s="39" t="inlineStr">
        <is>
          <t>NY Auto Verified</t>
        </is>
      </c>
      <c r="B28" s="39">
        <f>COUNTIF('NY Auto Verified'!$J$2:$J$500,"Primary source")</f>
        <v/>
      </c>
      <c r="C28" s="39">
        <f>COUNTIF('NY Auto Verified'!$J$2:$J$500,"Secondary - unverified")</f>
        <v/>
      </c>
      <c r="D28" s="39">
        <f>COUNTIF('NY Auto Verified'!$J$2:$J$500,"Conflicting")</f>
        <v/>
      </c>
      <c r="E28" s="39">
        <f>COUNTIF('NY Auto Verified'!$J$2:$J$500,"Not researched")</f>
        <v/>
      </c>
      <c r="F28" s="39">
        <f>SUM(B28:E28)</f>
        <v/>
      </c>
    </row>
    <row r="29" ht="15" customHeight="1" s="29">
      <c r="A29" s="39" t="inlineStr">
        <is>
          <t>TX Home Verified</t>
        </is>
      </c>
      <c r="B29" s="39">
        <f>COUNTIF('TX Home Verified'!$J$2:$J$500,"Primary source")</f>
        <v/>
      </c>
      <c r="C29" s="39">
        <f>COUNTIF('TX Home Verified'!$J$2:$J$500,"Secondary - unverified")</f>
        <v/>
      </c>
      <c r="D29" s="39">
        <f>COUNTIF('TX Home Verified'!$J$2:$J$500,"Conflicting")</f>
        <v/>
      </c>
      <c r="E29" s="39">
        <f>COUNTIF('TX Home Verified'!$J$2:$J$500,"Not researched")</f>
        <v/>
      </c>
      <c r="F29" s="39">
        <f>SUM(B29:E29)</f>
        <v/>
      </c>
    </row>
    <row r="30" ht="15" customHeight="1" s="29">
      <c r="A30" s="39" t="inlineStr">
        <is>
          <t>FL Home Verified</t>
        </is>
      </c>
      <c r="B30" s="39">
        <f>COUNTIF('FL Home Verified'!$J$2:$J$500,"Primary source")</f>
        <v/>
      </c>
      <c r="C30" s="39">
        <f>COUNTIF('FL Home Verified'!$J$2:$J$500,"Secondary - unverified")</f>
        <v/>
      </c>
      <c r="D30" s="39">
        <f>COUNTIF('FL Home Verified'!$J$2:$J$500,"Conflicting")</f>
        <v/>
      </c>
      <c r="E30" s="39">
        <f>COUNTIF('FL Home Verified'!$J$2:$J$500,"Not researched")</f>
        <v/>
      </c>
      <c r="F30" s="39">
        <f>SUM(B30:E30)</f>
        <v/>
      </c>
    </row>
    <row r="31" ht="15" customHeight="1" s="29">
      <c r="A31" s="28" t="inlineStr">
        <is>
          <t>NY Home Verified</t>
        </is>
      </c>
      <c r="B31" s="28">
        <f>COUNTIF('NY Home Verified'!$J$2:$J$500,"Primary source")</f>
        <v/>
      </c>
      <c r="C31" s="28">
        <f>COUNTIF('NY Home Verified'!$J$2:$J$500,"Secondary - unverified")</f>
        <v/>
      </c>
      <c r="D31" s="28">
        <f>COUNTIF('NY Home Verified'!$J$2:$J$500,"Conflicting")</f>
        <v/>
      </c>
      <c r="E31" s="28">
        <f>COUNTIF('NY Home Verified'!$J$2:$J$500,"Not researched")</f>
        <v/>
      </c>
      <c r="F31" s="28">
        <f>SUM(B31:E31)</f>
        <v/>
      </c>
    </row>
    <row r="32">
      <c r="A32" s="31" t="inlineStr">
        <is>
          <t>All tabs</t>
        </is>
      </c>
      <c r="B32" s="31">
        <f>SUM(B17:B31)</f>
        <v/>
      </c>
      <c r="C32" s="31">
        <f>SUM(C17:C31)</f>
        <v/>
      </c>
      <c r="D32" s="31">
        <f>SUM(D17:D31)</f>
        <v/>
      </c>
      <c r="E32" s="31">
        <f>SUM(E17:E31)</f>
        <v/>
      </c>
      <c r="F32" s="31">
        <f>SUM(F17:F31)</f>
        <v/>
      </c>
    </row>
    <row r="33" ht="15" customHeight="1" s="29"/>
    <row r="34" ht="15" customHeight="1" s="29">
      <c r="A34" s="31" t="inlineStr">
        <is>
          <t>Tabs</t>
        </is>
      </c>
    </row>
    <row r="35" ht="15" customHeight="1" s="29">
      <c r="A35" s="39" t="inlineStr">
        <is>
          <t>TX Home Verified</t>
        </is>
      </c>
      <c r="B35" s="39" t="inlineStr">
        <is>
          <t>Texas home facts from TDI, TWIA and secondary sources.</t>
        </is>
      </c>
    </row>
    <row r="36" ht="15" customHeight="1" s="29">
      <c r="A36" s="39" t="inlineStr">
        <is>
          <t>FL Home Verified</t>
        </is>
      </c>
      <c r="B36" s="39" t="inlineStr">
        <is>
          <t>Florida home facts: hurricane deductibles, Citizens and flood rules.</t>
        </is>
      </c>
    </row>
    <row r="37" ht="15" customHeight="1" s="29">
      <c r="A37" s="39" t="inlineStr">
        <is>
          <t>TX Auto Verified</t>
        </is>
      </c>
      <c r="B37" s="39" t="inlineStr">
        <is>
          <t>Texas auto facts from the TDI guide.</t>
        </is>
      </c>
    </row>
    <row r="38" ht="15" customHeight="1" s="29">
      <c r="A38" s="39" t="inlineStr">
        <is>
          <t>FL Auto Verified</t>
        </is>
      </c>
      <c r="B38" s="39" t="inlineStr">
        <is>
          <t>Florida auto facts from FLHSMV and Florida Statutes.</t>
        </is>
      </c>
    </row>
    <row r="39" ht="15" customHeight="1" s="29">
      <c r="A39" s="39" t="inlineStr">
        <is>
          <t>NY Auto Verified</t>
        </is>
      </c>
      <c r="B39" s="39" t="inlineStr">
        <is>
          <t>New York auto facts from the DFS consumer guide.</t>
        </is>
      </c>
    </row>
    <row r="40" ht="15" customHeight="1" s="29">
      <c r="A40" s="39" t="inlineStr">
        <is>
          <t>CA Home Verified</t>
        </is>
      </c>
      <c r="B40" s="39" t="inlineStr">
        <is>
          <t>California home insurance facts traced to CDI, CEA and FAIR Plan sources and CDI press releases.</t>
        </is>
      </c>
    </row>
    <row r="41" ht="15" customHeight="1" s="29">
      <c r="A41" s="39" t="inlineStr">
        <is>
          <t>CA Auto Verified</t>
        </is>
      </c>
      <c r="B41" s="39" t="inlineStr">
        <is>
          <t>California auto facts traced to primary sources (CDI, DMV, statutes and regulations).</t>
        </is>
      </c>
    </row>
    <row r="42" ht="15" customHeight="1" s="29">
      <c r="A42" s="39" t="inlineStr">
        <is>
          <t>State Min Limits</t>
        </is>
      </c>
      <c r="B42" s="39" t="inlineStr">
        <is>
          <t>Minimum auto liability limits by state (50 states + DC); most rows still to research.</t>
        </is>
      </c>
    </row>
    <row r="43" ht="15" customHeight="1" s="29">
      <c r="A43" s="39" t="inlineStr">
        <is>
          <t>Rating Factors</t>
        </is>
      </c>
      <c r="B43" s="39" t="inlineStr">
        <is>
          <t>Credit, gender and age rules by state for states researched.</t>
        </is>
      </c>
    </row>
    <row r="44" ht="15" customHeight="1" s="29">
      <c r="A44" s="39" t="inlineStr">
        <is>
          <t>Discounts</t>
        </is>
      </c>
      <c r="B44" s="39" t="inlineStr">
        <is>
          <t>Discount availability by state and carrier.</t>
        </is>
      </c>
    </row>
    <row r="45" ht="15" customHeight="1" s="29">
      <c r="A45" s="39" t="inlineStr">
        <is>
          <t>Telematics</t>
        </is>
      </c>
      <c r="B45" s="39" t="inlineStr">
        <is>
          <t>Usage-based programs by carrier.</t>
        </is>
      </c>
    </row>
    <row r="46" ht="15" customHeight="1" s="29">
      <c r="A46" s="39" t="inlineStr">
        <is>
          <t>Coverage Details</t>
        </is>
      </c>
      <c r="B46" s="39" t="inlineStr">
        <is>
          <t>Flood, earthquake, umbrella and other coverage facts.</t>
        </is>
      </c>
    </row>
    <row r="47" ht="15" customHeight="1" s="29">
      <c r="A47" s="39" t="inlineStr">
        <is>
          <t>Price Benchmarks</t>
        </is>
      </c>
      <c r="B47" s="39" t="inlineStr">
        <is>
          <t>Published average premiums with spread formulas.</t>
        </is>
      </c>
    </row>
    <row r="48" ht="15" customHeight="1" s="29">
      <c r="A48" s="39" t="inlineStr">
        <is>
          <t>Regulatory Watch</t>
        </is>
      </c>
      <c r="B48" s="39" t="inlineStr">
        <is>
          <t>Laws and rules to monitor.</t>
        </is>
      </c>
    </row>
    <row r="49" ht="15" customHeight="1" s="29">
      <c r="A49" s="39" t="inlineStr">
        <is>
          <t>Quote Source Options</t>
        </is>
      </c>
      <c r="B49" s="39" t="inlineStr">
        <is>
          <t>Ways to get real quotes and what each implies.</t>
        </is>
      </c>
    </row>
    <row r="50" ht="15" customHeight="1" s="29">
      <c r="A50" s="39" t="inlineStr">
        <is>
          <t>Legal Review Checklist</t>
        </is>
      </c>
      <c r="B50" s="39" t="inlineStr">
        <is>
          <t>Questions to bring to insurance-regulatory counsel.</t>
        </is>
      </c>
    </row>
    <row r="51" ht="15" customHeight="1" s="29">
      <c r="A51" s="39" t="inlineStr">
        <is>
          <t>Refresh Schedule</t>
        </is>
      </c>
      <c r="B51" s="39" t="inlineStr">
        <is>
          <t>Owners, review intervals and overdue checks (formulas).</t>
        </is>
      </c>
    </row>
    <row r="52" ht="15" customHeight="1" s="29">
      <c r="A52" s="39" t="inlineStr">
        <is>
          <t>Conflicts Log</t>
        </is>
      </c>
      <c r="B52" s="39" t="inlineStr">
        <is>
          <t>Where sources disagree and what to verify.</t>
        </is>
      </c>
    </row>
    <row r="53">
      <c r="A53" s="39" t="inlineStr">
        <is>
          <t>Sources</t>
        </is>
      </c>
      <c r="B53" s="39" t="inlineStr">
        <is>
          <t>Every source used, with type and reliability note.</t>
        </is>
      </c>
    </row>
    <row r="55">
      <c r="A55" s="28" t="inlineStr">
        <is>
          <t>NY Home Verified</t>
        </is>
      </c>
      <c r="B55" s="28" t="inlineStr">
        <is>
          <t>New York home facts from the DFS homeowners guide, NYPIUA, and the cancellations/non-renewals and discounts pages.</t>
        </is>
      </c>
    </row>
  </sheetData>
  <mergeCells count="27">
    <mergeCell ref="B7:F7"/>
    <mergeCell ref="B47:F47"/>
    <mergeCell ref="B3:F3"/>
    <mergeCell ref="B46:F46"/>
    <mergeCell ref="B52:F52"/>
    <mergeCell ref="B43:F43"/>
    <mergeCell ref="B12:F12"/>
    <mergeCell ref="B39:F39"/>
    <mergeCell ref="B48:F48"/>
    <mergeCell ref="B11:F11"/>
    <mergeCell ref="B42:F42"/>
    <mergeCell ref="B13:F13"/>
    <mergeCell ref="B44:F44"/>
    <mergeCell ref="B38:F38"/>
    <mergeCell ref="B34:F34"/>
    <mergeCell ref="B10:F10"/>
    <mergeCell ref="B37:F37"/>
    <mergeCell ref="B40:F40"/>
    <mergeCell ref="B49:F49"/>
    <mergeCell ref="B6:F6"/>
    <mergeCell ref="B5:F5"/>
    <mergeCell ref="B51:F51"/>
    <mergeCell ref="B45:F45"/>
    <mergeCell ref="B36:F36"/>
    <mergeCell ref="B50:F50"/>
    <mergeCell ref="B41:F41"/>
    <mergeCell ref="B35:F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4" customWidth="1" style="28" min="2" max="2"/>
    <col width="52" customWidth="1" style="28" min="3" max="3"/>
    <col width="34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8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Minimum liability</t>
        </is>
      </c>
      <c r="B2" s="41" t="inlineStr">
        <is>
          <t>Bodily injury per person</t>
        </is>
      </c>
      <c r="C2" s="41" t="inlineStr">
        <is>
          <t>$30,000</t>
        </is>
      </c>
      <c r="D2" s="41" t="inlineStr">
        <is>
          <t>Ins. Code 11580.1(b) (per DMV)</t>
        </is>
      </c>
      <c r="E2" s="41" t="inlineStr">
        <is>
          <t>CA DMV - Auto Insurance Requirements (modified Jul 10, 2025)</t>
        </is>
      </c>
      <c r="F2" s="42" t="inlineStr">
        <is>
          <t>https://www.dmv.ca.gov/portal/vehicle-registration/insurance-requirements/</t>
        </is>
      </c>
      <c r="G2" s="43" t="n">
        <v>46295</v>
      </c>
      <c r="H2" s="41" t="inlineStr">
        <is>
          <t>California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inlineStr">
        <is>
          <t>CDI Form 101 states the same limits.</t>
        </is>
      </c>
    </row>
    <row r="3" ht="23.85" customHeight="1" s="29">
      <c r="A3" s="41" t="inlineStr">
        <is>
          <t>Minimum liability</t>
        </is>
      </c>
      <c r="B3" s="41" t="inlineStr">
        <is>
          <t>Bodily injury per accident</t>
        </is>
      </c>
      <c r="C3" s="41" t="inlineStr">
        <is>
          <t>$60,000</t>
        </is>
      </c>
      <c r="D3" s="41" t="inlineStr">
        <is>
          <t>Ins. Code 11580.1(b) (per DMV)</t>
        </is>
      </c>
      <c r="E3" s="41" t="inlineStr">
        <is>
          <t>CA DMV - Auto Insurance Requirements (modified Jul 10, 2025)</t>
        </is>
      </c>
      <c r="F3" s="42" t="inlineStr">
        <is>
          <t>https://www.dmv.ca.gov/portal/vehicle-registration/insurance-requirements/</t>
        </is>
      </c>
      <c r="G3" s="43" t="n">
        <v>46295</v>
      </c>
      <c r="H3" s="41" t="inlineStr">
        <is>
          <t>California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n"/>
    </row>
    <row r="4" ht="23.85" customHeight="1" s="29">
      <c r="A4" s="41" t="inlineStr">
        <is>
          <t>Minimum liability</t>
        </is>
      </c>
      <c r="B4" s="41" t="inlineStr">
        <is>
          <t>Property damage</t>
        </is>
      </c>
      <c r="C4" s="41" t="inlineStr">
        <is>
          <t>$15,000</t>
        </is>
      </c>
      <c r="D4" s="41" t="inlineStr">
        <is>
          <t>Ins. Code 11580.1(b) (per DMV)</t>
        </is>
      </c>
      <c r="E4" s="41" t="inlineStr">
        <is>
          <t>CA DMV - Auto Insurance Requirements (modified Jul 10, 2025)</t>
        </is>
      </c>
      <c r="F4" s="42" t="inlineStr">
        <is>
          <t>https://www.dmv.ca.gov/portal/vehicle-registration/insurance-requirements/</t>
        </is>
      </c>
      <c r="G4" s="43" t="n">
        <v>46295</v>
      </c>
      <c r="H4" s="41" t="inlineStr">
        <is>
          <t>California</t>
        </is>
      </c>
      <c r="I4" s="41" t="inlineStr">
        <is>
          <t>Regulator-published</t>
        </is>
      </c>
      <c r="J4" s="44" t="inlineStr">
        <is>
          <t>Primary source</t>
        </is>
      </c>
      <c r="K4" s="43" t="n">
        <v>46295</v>
      </c>
      <c r="L4" s="41" t="n"/>
    </row>
    <row r="5" ht="23.85" customHeight="1" s="29">
      <c r="A5" s="41" t="inlineStr">
        <is>
          <t>Minimum liability</t>
        </is>
      </c>
      <c r="B5" s="41" t="inlineStr">
        <is>
          <t>Timing of increase</t>
        </is>
      </c>
      <c r="C5" s="41" t="inlineStr">
        <is>
          <t>Increased limits begin 2025 under SB 1107</t>
        </is>
      </c>
      <c r="D5" s="41" t="inlineStr">
        <is>
          <t>SB 1107 (2022)</t>
        </is>
      </c>
      <c r="E5" s="41" t="inlineStr">
        <is>
          <t>CA Dept of Insurance - Low Cost Auto consumer alert (Jul 23, 2024)</t>
        </is>
      </c>
      <c r="F5" s="42" t="inlineStr">
        <is>
          <t>https://www.insurance.ca.gov/0400-news/0102-alerts/2024/California-s-Low-Cost-Auto-Insurance.cfm</t>
        </is>
      </c>
      <c r="G5" s="43" t="n">
        <v>46295</v>
      </c>
      <c r="H5" s="41" t="inlineStr">
        <is>
          <t>California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inlineStr">
        <is>
          <t>CDI alert says liability limits increase beginning 2025.</t>
        </is>
      </c>
    </row>
    <row r="6" ht="23.85" customHeight="1" s="29">
      <c r="A6" s="41" t="inlineStr">
        <is>
          <t>Minimum liability</t>
        </is>
      </c>
      <c r="B6" s="41" t="inlineStr">
        <is>
          <t>Existing policies adjust at renewal</t>
        </is>
      </c>
      <c r="C6" s="41" t="inlineStr">
        <is>
          <t>Policies renew at the new limits</t>
        </is>
      </c>
      <c r="D6" s="41" t="inlineStr">
        <is>
          <t>Per law-firm summary of CDI position</t>
        </is>
      </c>
      <c r="E6" s="41" t="inlineStr">
        <is>
          <t>CarInsurance.com - Minimum liability by state (Apr 2026)</t>
        </is>
      </c>
      <c r="F6" s="42" t="inlineStr">
        <is>
          <t>https://www.carinsurance.com/Articles/minimum-liability-car-insurance-requirements-by-state.aspx</t>
        </is>
      </c>
      <c r="G6" s="43" t="n">
        <v>46295</v>
      </c>
      <c r="H6" s="41" t="inlineStr">
        <is>
          <t>California</t>
        </is>
      </c>
      <c r="I6" s="41" t="inlineStr">
        <is>
          <t>Reference data (secondary source)</t>
        </is>
      </c>
      <c r="J6" s="45" t="inlineStr">
        <is>
          <t>Secondary - unverified</t>
        </is>
      </c>
      <c r="K6" s="43" t="n">
        <v>46295</v>
      </c>
      <c r="L6" s="41" t="inlineStr">
        <is>
          <t>Verify with CDI.</t>
        </is>
      </c>
    </row>
    <row r="7" ht="35.05" customHeight="1" s="29">
      <c r="A7" s="41" t="inlineStr">
        <is>
          <t>Minimum liability</t>
        </is>
      </c>
      <c r="B7" s="41" t="inlineStr">
        <is>
          <t>Scheduled second increase</t>
        </is>
      </c>
      <c r="C7" s="41" t="inlineStr">
        <is>
          <t>On Jan 1, 2035 minimums rise by $20,000 (per person), $40,000 (per accident) and $10,000 (property damage): 50/100/25</t>
        </is>
      </c>
      <c r="D7" s="41" t="inlineStr">
        <is>
          <t>SB 1107 (2022) text</t>
        </is>
      </c>
      <c r="E7" s="41" t="inlineStr">
        <is>
          <t>SB 1107 (2021-22) enrolled bill text - Vehicles: insurance (leginfo)</t>
        </is>
      </c>
      <c r="F7" s="42" t="inlineStr">
        <is>
          <t>https://leginfo.legislature.ca.gov/faces/billNavClient.xhtml?bill_id=202120220SB1107</t>
        </is>
      </c>
      <c r="G7" s="43" t="n">
        <v>46295</v>
      </c>
      <c r="H7" s="41" t="inlineStr">
        <is>
          <t>California</t>
        </is>
      </c>
      <c r="I7" s="41" t="inlineStr">
        <is>
          <t>Statute / regulation text</t>
        </is>
      </c>
      <c r="J7" s="44" t="inlineStr">
        <is>
          <t>Primary source</t>
        </is>
      </c>
      <c r="K7" s="43" t="n">
        <v>46295</v>
      </c>
      <c r="L7" s="41" t="inlineStr">
        <is>
          <t>Confirmed in the bill text on leginfo. Agency and law-firm sites report the same 50/100/25.</t>
        </is>
      </c>
    </row>
    <row r="8" ht="23.85" customHeight="1" s="29">
      <c r="A8" s="41" t="inlineStr">
        <is>
          <t>Financial responsibility</t>
        </is>
      </c>
      <c r="B8" s="41" t="inlineStr">
        <is>
          <t>Alternatives to insurance (DMV)</t>
        </is>
      </c>
      <c r="C8" s="41" t="inlineStr">
        <is>
          <t>Cash deposit $75,000; surety bond $75,000; DMV self-insurance certificate</t>
        </is>
      </c>
      <c r="D8" s="41" t="inlineStr">
        <is>
          <t>DMV page (Jul 2025); SB 1107</t>
        </is>
      </c>
      <c r="E8" s="41" t="inlineStr">
        <is>
          <t>CA DMV - Auto Insurance Requirements (modified Jul 10, 2025)</t>
        </is>
      </c>
      <c r="F8" s="42" t="inlineStr">
        <is>
          <t>https://www.dmv.ca.gov/portal/vehicle-registration/insurance-requirements/</t>
        </is>
      </c>
      <c r="G8" s="43" t="n">
        <v>46295</v>
      </c>
      <c r="H8" s="41" t="inlineStr">
        <is>
          <t>California</t>
        </is>
      </c>
      <c r="I8" s="41" t="inlineStr">
        <is>
          <t>Regulator-published</t>
        </is>
      </c>
      <c r="J8" s="44" t="inlineStr">
        <is>
          <t>Primary source</t>
        </is>
      </c>
      <c r="K8" s="43" t="n">
        <v>46295</v>
      </c>
      <c r="L8" s="41" t="inlineStr">
        <is>
          <t>Resolved: SB 1107 raised the deposit to $75,000 (and by $50,000 more on Jan 1, 2035). CDI Form 101's $35,000 figure is out of date.</t>
        </is>
      </c>
    </row>
    <row r="9" ht="23.85" customHeight="1" s="29">
      <c r="A9" s="41" t="inlineStr">
        <is>
          <t>Financial responsibility</t>
        </is>
      </c>
      <c r="B9" s="41" t="inlineStr">
        <is>
          <t>Collision/comprehensive</t>
        </is>
      </c>
      <c r="C9" s="41" t="inlineStr">
        <is>
          <t>Do not satisfy financial responsibility</t>
        </is>
      </c>
      <c r="D9" s="41" t="inlineStr">
        <is>
          <t>DMV page</t>
        </is>
      </c>
      <c r="E9" s="41" t="inlineStr">
        <is>
          <t>CA DMV - Auto Insurance Requirements (modified Jul 10, 2025)</t>
        </is>
      </c>
      <c r="F9" s="42" t="inlineStr">
        <is>
          <t>https://www.dmv.ca.gov/portal/vehicle-registration/insurance-requirements/</t>
        </is>
      </c>
      <c r="G9" s="43" t="n">
        <v>46295</v>
      </c>
      <c r="H9" s="41" t="inlineStr">
        <is>
          <t>California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inlineStr">
        <is>
          <t>Liability is the only required coverage.</t>
        </is>
      </c>
    </row>
    <row r="10" ht="23.85" customHeight="1" s="29">
      <c r="A10" s="41" t="inlineStr">
        <is>
          <t>Financial responsibility</t>
        </is>
      </c>
      <c r="B10" s="41" t="inlineStr">
        <is>
          <t>When proof must be shown</t>
        </is>
      </c>
      <c r="C10" s="41" t="inlineStr">
        <is>
          <t>On request by law enforcement, at registration renewal, after a collision</t>
        </is>
      </c>
      <c r="D10" s="41" t="inlineStr">
        <is>
          <t>DMV page</t>
        </is>
      </c>
      <c r="E10" s="41" t="inlineStr">
        <is>
          <t>CA DMV - Auto Insurance Requirements (modified Jul 10, 2025)</t>
        </is>
      </c>
      <c r="F10" s="42" t="inlineStr">
        <is>
          <t>https://www.dmv.ca.gov/portal/vehicle-registration/insurance-requirements/</t>
        </is>
      </c>
      <c r="G10" s="43" t="n">
        <v>46295</v>
      </c>
      <c r="H10" s="41" t="inlineStr">
        <is>
          <t>California</t>
        </is>
      </c>
      <c r="I10" s="41" t="inlineStr">
        <is>
          <t>Regulator-published</t>
        </is>
      </c>
      <c r="J10" s="44" t="inlineStr">
        <is>
          <t>Primary source</t>
        </is>
      </c>
      <c r="K10" s="43" t="n">
        <v>46295</v>
      </c>
      <c r="L10" s="41" t="inlineStr">
        <is>
          <t>Registration is suspended if DMV does not receive proof.</t>
        </is>
      </c>
    </row>
    <row r="11" ht="23.85" customHeight="1" s="29">
      <c r="A11" s="41" t="inlineStr">
        <is>
          <t>Financial responsibility</t>
        </is>
      </c>
      <c r="B11" s="41" t="inlineStr">
        <is>
          <t>Insurers report to DMV</t>
        </is>
      </c>
      <c r="C11" s="41" t="inlineStr">
        <is>
          <t>Electronic reporting required</t>
        </is>
      </c>
      <c r="D11" s="41" t="inlineStr">
        <is>
          <t>Veh. Code 16058 (per DMV)</t>
        </is>
      </c>
      <c r="E11" s="41" t="inlineStr">
        <is>
          <t>CA DMV - Auto Insurance Requirements (modified Jul 10, 2025)</t>
        </is>
      </c>
      <c r="F11" s="42" t="inlineStr">
        <is>
          <t>https://www.dmv.ca.gov/portal/vehicle-registration/insurance-requirements/</t>
        </is>
      </c>
      <c r="G11" s="43" t="n">
        <v>46295</v>
      </c>
      <c r="H11" s="41" t="inlineStr">
        <is>
          <t>California</t>
        </is>
      </c>
      <c r="I11" s="41" t="inlineStr">
        <is>
          <t>Regulator-published</t>
        </is>
      </c>
      <c r="J11" s="44" t="inlineStr">
        <is>
          <t>Primary source</t>
        </is>
      </c>
      <c r="K11" s="43" t="n">
        <v>46295</v>
      </c>
      <c r="L11" s="41" t="n"/>
    </row>
    <row r="12" ht="23.85" customHeight="1" s="29">
      <c r="A12" s="41" t="inlineStr">
        <is>
          <t>Other coverages</t>
        </is>
      </c>
      <c r="B12" s="41" t="inlineStr">
        <is>
          <t>Uninsured/underinsured motorist</t>
        </is>
      </c>
      <c r="C12" s="41" t="inlineStr">
        <is>
          <t>Must be offered; can be declined by signed waiver; UMBI limits equal liability limits</t>
        </is>
      </c>
      <c r="D12" s="41" t="inlineStr">
        <is>
          <t>CDI Form 101</t>
        </is>
      </c>
      <c r="E12" s="41" t="inlineStr">
        <is>
          <t>CA Dept of Insurance - Introduction to Auto Insurance (Form 101, rev. Feb 5, 2025)</t>
        </is>
      </c>
      <c r="F12" s="42" t="inlineStr">
        <is>
          <t>https://www.insurance.ca.gov/01-consumers/105-type/95-guides/01-auto/auto101.cfm</t>
        </is>
      </c>
      <c r="G12" s="43" t="n">
        <v>46295</v>
      </c>
      <c r="H12" s="41" t="inlineStr">
        <is>
          <t>California</t>
        </is>
      </c>
      <c r="I12" s="41" t="inlineStr">
        <is>
          <t>Regulator-published</t>
        </is>
      </c>
      <c r="J12" s="44" t="inlineStr">
        <is>
          <t>Primary source</t>
        </is>
      </c>
      <c r="K12" s="43" t="n">
        <v>46295</v>
      </c>
      <c r="L12" s="41" t="n"/>
    </row>
    <row r="13" ht="23.85" customHeight="1" s="29">
      <c r="A13" s="41" t="inlineStr">
        <is>
          <t>Other coverages</t>
        </is>
      </c>
      <c r="B13" s="41" t="inlineStr">
        <is>
          <t>UM property damage limit</t>
        </is>
      </c>
      <c r="C13" s="41" t="inlineStr">
        <is>
          <t>$3,500 (only if uninsured driver identified)</t>
        </is>
      </c>
      <c r="D13" s="41" t="inlineStr">
        <is>
          <t>CDI Form 101</t>
        </is>
      </c>
      <c r="E13" s="41" t="inlineStr">
        <is>
          <t>CA Dept of Insurance - Introduction to Auto Insurance (Form 101, rev. Feb 5, 2025)</t>
        </is>
      </c>
      <c r="F13" s="42" t="inlineStr">
        <is>
          <t>https://www.insurance.ca.gov/01-consumers/105-type/95-guides/01-auto/auto101.cfm</t>
        </is>
      </c>
      <c r="G13" s="43" t="n">
        <v>46295</v>
      </c>
      <c r="H13" s="41" t="inlineStr">
        <is>
          <t>California</t>
        </is>
      </c>
      <c r="I13" s="41" t="inlineStr">
        <is>
          <t>Regulator-published</t>
        </is>
      </c>
      <c r="J13" s="44" t="inlineStr">
        <is>
          <t>Primary source</t>
        </is>
      </c>
      <c r="K13" s="43" t="n">
        <v>46295</v>
      </c>
      <c r="L13" s="41" t="n"/>
    </row>
    <row r="14" ht="23.85" customHeight="1" s="29">
      <c r="A14" s="41" t="inlineStr">
        <is>
          <t>Other coverages</t>
        </is>
      </c>
      <c r="B14" s="41" t="inlineStr">
        <is>
          <t>Medical payments</t>
        </is>
      </c>
      <c r="C14" s="41" t="inlineStr">
        <is>
          <t>Optional; minimum limit you can buy is $1,000 per person</t>
        </is>
      </c>
      <c r="D14" s="41" t="inlineStr">
        <is>
          <t>CDI Form 101</t>
        </is>
      </c>
      <c r="E14" s="41" t="inlineStr">
        <is>
          <t>CA Dept of Insurance - Introduction to Auto Insurance (Form 101, rev. Feb 5, 2025)</t>
        </is>
      </c>
      <c r="F14" s="42" t="inlineStr">
        <is>
          <t>https://www.insurance.ca.gov/01-consumers/105-type/95-guides/01-auto/auto101.cfm</t>
        </is>
      </c>
      <c r="G14" s="43" t="n">
        <v>46295</v>
      </c>
      <c r="H14" s="41" t="inlineStr">
        <is>
          <t>California</t>
        </is>
      </c>
      <c r="I14" s="41" t="inlineStr">
        <is>
          <t>Regulator-published</t>
        </is>
      </c>
      <c r="J14" s="44" t="inlineStr">
        <is>
          <t>Primary source</t>
        </is>
      </c>
      <c r="K14" s="43" t="n">
        <v>46295</v>
      </c>
      <c r="L14" s="41" t="n"/>
    </row>
    <row r="15" ht="23.85" customHeight="1" s="29">
      <c r="A15" s="41" t="inlineStr">
        <is>
          <t>Fault and claims</t>
        </is>
      </c>
      <c r="B15" s="41" t="inlineStr">
        <is>
          <t>Fault rule</t>
        </is>
      </c>
      <c r="C15" s="41" t="inlineStr">
        <is>
          <t>Comparative negligence</t>
        </is>
      </c>
      <c r="D15" s="41" t="inlineStr">
        <is>
          <t>CDI Form 101</t>
        </is>
      </c>
      <c r="E15" s="41" t="inlineStr">
        <is>
          <t>CA Dept of Insurance - Introduction to Auto Insurance (Form 101, rev. Feb 5, 2025)</t>
        </is>
      </c>
      <c r="F15" s="42" t="inlineStr">
        <is>
          <t>https://www.insurance.ca.gov/01-consumers/105-type/95-guides/01-auto/auto101.cfm</t>
        </is>
      </c>
      <c r="G15" s="43" t="n">
        <v>46295</v>
      </c>
      <c r="H15" s="41" t="inlineStr">
        <is>
          <t>California</t>
        </is>
      </c>
      <c r="I15" s="41" t="inlineStr">
        <is>
          <t>Regulator-published</t>
        </is>
      </c>
      <c r="J15" s="44" t="inlineStr">
        <is>
          <t>Primary source</t>
        </is>
      </c>
      <c r="K15" s="43" t="n">
        <v>46295</v>
      </c>
      <c r="L15" s="41" t="n"/>
    </row>
    <row r="16" ht="23.85" customHeight="1" s="29">
      <c r="A16" s="41" t="inlineStr">
        <is>
          <t>Fault and claims</t>
        </is>
      </c>
      <c r="B16" s="41" t="inlineStr">
        <is>
          <t>Surcharge after an accident</t>
        </is>
      </c>
      <c r="C16" s="41" t="inlineStr">
        <is>
          <t>None if not at fault; can apply at renewal if at least 51% at fault</t>
        </is>
      </c>
      <c r="D16" s="41" t="inlineStr">
        <is>
          <t>CDI Form 101</t>
        </is>
      </c>
      <c r="E16" s="41" t="inlineStr">
        <is>
          <t>CA Dept of Insurance - Introduction to Auto Insurance (Form 101, rev. Feb 5, 2025)</t>
        </is>
      </c>
      <c r="F16" s="42" t="inlineStr">
        <is>
          <t>https://www.insurance.ca.gov/01-consumers/105-type/95-guides/01-auto/auto101.cfm</t>
        </is>
      </c>
      <c r="G16" s="43" t="n">
        <v>46295</v>
      </c>
      <c r="H16" s="41" t="inlineStr">
        <is>
          <t>California</t>
        </is>
      </c>
      <c r="I16" s="41" t="inlineStr">
        <is>
          <t>Regulator-published</t>
        </is>
      </c>
      <c r="J16" s="44" t="inlineStr">
        <is>
          <t>Primary source</t>
        </is>
      </c>
      <c r="K16" s="43" t="n">
        <v>46295</v>
      </c>
      <c r="L16" s="41" t="n"/>
    </row>
    <row r="17" ht="23.85" customHeight="1" s="29">
      <c r="A17" s="41" t="inlineStr">
        <is>
          <t>Fault and claims</t>
        </is>
      </c>
      <c r="B17" s="41" t="inlineStr">
        <is>
          <t>Reasons a policy can be cancelled or non-renewed</t>
        </is>
      </c>
      <c r="C17" s="41" t="inlineStr">
        <is>
          <t>Fraud/material misrepresentation; non-payment; substantial increase in hazard</t>
        </is>
      </c>
      <c r="D17" s="41" t="inlineStr">
        <is>
          <t>CDI Form 101</t>
        </is>
      </c>
      <c r="E17" s="41" t="inlineStr">
        <is>
          <t>CA Dept of Insurance - Introduction to Auto Insurance (Form 101, rev. Feb 5, 2025)</t>
        </is>
      </c>
      <c r="F17" s="42" t="inlineStr">
        <is>
          <t>https://www.insurance.ca.gov/01-consumers/105-type/95-guides/01-auto/auto101.cfm</t>
        </is>
      </c>
      <c r="G17" s="43" t="n">
        <v>46295</v>
      </c>
      <c r="H17" s="41" t="inlineStr">
        <is>
          <t>California</t>
        </is>
      </c>
      <c r="I17" s="41" t="inlineStr">
        <is>
          <t>Regulator-published</t>
        </is>
      </c>
      <c r="J17" s="44" t="inlineStr">
        <is>
          <t>Primary source</t>
        </is>
      </c>
      <c r="K17" s="43" t="n">
        <v>46295</v>
      </c>
      <c r="L17" s="41" t="n"/>
    </row>
    <row r="18" ht="23.85" customHeight="1" s="29">
      <c r="A18" s="41" t="inlineStr">
        <is>
          <t>Rating factors</t>
        </is>
      </c>
      <c r="B18" s="41" t="inlineStr">
        <is>
          <t>Mandatory factors (in order of importance)</t>
        </is>
      </c>
      <c r="C18" s="41" t="inlineStr">
        <is>
          <t>1) driving safety record 2) annual miles 3) years of driving experience</t>
        </is>
      </c>
      <c r="D18" s="41" t="inlineStr">
        <is>
          <t>Ins. Code 1861.02(a); 10 CCR 2632.5(c)</t>
        </is>
      </c>
      <c r="E18" s="41" t="inlineStr">
        <is>
          <t>10 CCR section 2632.5 - Rating Factors (text via Cornell LII)</t>
        </is>
      </c>
      <c r="F18" s="42" t="inlineStr">
        <is>
          <t>https://www.law.cornell.edu/regulations/california/10-CCR-2632.5</t>
        </is>
      </c>
      <c r="G18" s="43" t="n">
        <v>46295</v>
      </c>
      <c r="H18" s="41" t="inlineStr">
        <is>
          <t>California</t>
        </is>
      </c>
      <c r="I18" s="41" t="inlineStr">
        <is>
          <t>Statute / regulation text</t>
        </is>
      </c>
      <c r="J18" s="44" t="inlineStr">
        <is>
          <t>Primary source</t>
        </is>
      </c>
      <c r="K18" s="43" t="n">
        <v>46295</v>
      </c>
      <c r="L18" s="41" t="inlineStr">
        <is>
          <t>Factors after the third must be on the Commissioner's approved list.</t>
        </is>
      </c>
    </row>
    <row r="19" ht="57.45" customHeight="1" s="29">
      <c r="A19" s="41" t="inlineStr">
        <is>
          <t>Rating factors</t>
        </is>
      </c>
      <c r="B19" s="41" t="inlineStr">
        <is>
          <t>Optional factors currently listed</t>
        </is>
      </c>
      <c r="C19" s="41" t="inlineStr">
        <is>
          <t>Vehicle type; performance; type of use; percent use; multi-vehicle household; academic standing; driver training; vehicle characteristics; marital status; persistency; non-smoker; secondary driver characteristics; multi-policy; relative claims frequency; relative claims severity</t>
        </is>
      </c>
      <c r="D19" s="41" t="inlineStr">
        <is>
          <t>10 CCR 2632.5(d)</t>
        </is>
      </c>
      <c r="E19" s="41" t="inlineStr">
        <is>
          <t>10 CCR section 2632.5 - Rating Factors (text via Cornell LII)</t>
        </is>
      </c>
      <c r="F19" s="42" t="inlineStr">
        <is>
          <t>https://www.law.cornell.edu/regulations/california/10-CCR-2632.5</t>
        </is>
      </c>
      <c r="G19" s="43" t="n">
        <v>46295</v>
      </c>
      <c r="H19" s="41" t="inlineStr">
        <is>
          <t>California</t>
        </is>
      </c>
      <c r="I19" s="41" t="inlineStr">
        <is>
          <t>Statute / regulation text</t>
        </is>
      </c>
      <c r="J19" s="44" t="inlineStr">
        <is>
          <t>Primary source</t>
        </is>
      </c>
      <c r="K19" s="43" t="n">
        <v>46295</v>
      </c>
      <c r="L19" s="41" t="inlineStr">
        <is>
          <t>Advisory Notice 2005-02 counted 16 optional factors; one was repealed effective Jan 1, 2019 (reported as gender). Confirm.</t>
        </is>
      </c>
    </row>
    <row r="20" ht="35.05" customHeight="1" s="29">
      <c r="A20" s="41" t="inlineStr">
        <is>
          <t>Rating factors</t>
        </is>
      </c>
      <c r="B20" s="41" t="inlineStr">
        <is>
          <t>Location</t>
        </is>
      </c>
      <c r="C20" s="41" t="inlineStr">
        <is>
          <t>Only through claims frequency and severity bands, each max 20 categories, based on ZIP code or census tract where vehicle is garaged</t>
        </is>
      </c>
      <c r="D20" s="41" t="inlineStr">
        <is>
          <t>10 CCR 2632.5(d)(14)-(15)</t>
        </is>
      </c>
      <c r="E20" s="41" t="inlineStr">
        <is>
          <t>10 CCR section 2632.5 - Rating Factors (text via Cornell LII)</t>
        </is>
      </c>
      <c r="F20" s="42" t="inlineStr">
        <is>
          <t>https://www.law.cornell.edu/regulations/california/10-CCR-2632.5</t>
        </is>
      </c>
      <c r="G20" s="43" t="n">
        <v>46295</v>
      </c>
      <c r="H20" s="41" t="inlineStr">
        <is>
          <t>California</t>
        </is>
      </c>
      <c r="I20" s="41" t="inlineStr">
        <is>
          <t>Statute / regulation text</t>
        </is>
      </c>
      <c r="J20" s="44" t="inlineStr">
        <is>
          <t>Primary source</t>
        </is>
      </c>
      <c r="K20" s="43" t="n">
        <v>46295</v>
      </c>
      <c r="L20" s="41" t="n"/>
    </row>
    <row r="21" ht="23.85" customHeight="1" s="29">
      <c r="A21" s="41" t="inlineStr">
        <is>
          <t>Rating factors</t>
        </is>
      </c>
      <c r="B21" s="41" t="inlineStr">
        <is>
          <t>Credit history, gender, age</t>
        </is>
      </c>
      <c r="C21" s="41" t="inlineStr">
        <is>
          <t>Not on the mandatory or optional lists</t>
        </is>
      </c>
      <c r="D21" s="41" t="inlineStr">
        <is>
          <t>10 CCR 2632.5</t>
        </is>
      </c>
      <c r="E21" s="41" t="inlineStr">
        <is>
          <t>10 CCR section 2632.5 - Rating Factors (text via Cornell LII)</t>
        </is>
      </c>
      <c r="F21" s="42" t="inlineStr">
        <is>
          <t>https://www.law.cornell.edu/regulations/california/10-CCR-2632.5</t>
        </is>
      </c>
      <c r="G21" s="43" t="n">
        <v>46295</v>
      </c>
      <c r="H21" s="41" t="inlineStr">
        <is>
          <t>California</t>
        </is>
      </c>
      <c r="I21" s="41" t="inlineStr">
        <is>
          <t>Statute / regulation text</t>
        </is>
      </c>
      <c r="J21" s="44" t="inlineStr">
        <is>
          <t>Primary source</t>
        </is>
      </c>
      <c r="K21" s="43" t="n">
        <v>46295</v>
      </c>
      <c r="L21" s="41" t="inlineStr">
        <is>
          <t>Derived from the regulation text: age matters only via years licensed. Confirm with counsel before publishing as a legal statement.</t>
        </is>
      </c>
    </row>
    <row r="22" ht="35.05" customHeight="1" s="29">
      <c r="A22" s="41" t="inlineStr">
        <is>
          <t>Rating factors</t>
        </is>
      </c>
      <c r="B22" s="41" t="inlineStr">
        <is>
          <t>Driving record verification</t>
        </is>
      </c>
      <c r="C22" s="41" t="inlineStr">
        <is>
          <t>Insurer must verify the motor vehicle report at application and at least every 36 months; DUI convictions treated as highest surchargeable violation</t>
        </is>
      </c>
      <c r="D22" s="41" t="inlineStr">
        <is>
          <t>10 CCR 2632.5(c)(1)</t>
        </is>
      </c>
      <c r="E22" s="41" t="inlineStr">
        <is>
          <t>10 CCR section 2632.5 - Rating Factors (text via Cornell LII)</t>
        </is>
      </c>
      <c r="F22" s="42" t="inlineStr">
        <is>
          <t>https://www.law.cornell.edu/regulations/california/10-CCR-2632.5</t>
        </is>
      </c>
      <c r="G22" s="43" t="n">
        <v>46295</v>
      </c>
      <c r="H22" s="41" t="inlineStr">
        <is>
          <t>California</t>
        </is>
      </c>
      <c r="I22" s="41" t="inlineStr">
        <is>
          <t>Statute / regulation text</t>
        </is>
      </c>
      <c r="J22" s="44" t="inlineStr">
        <is>
          <t>Primary source</t>
        </is>
      </c>
      <c r="K22" s="43" t="n">
        <v>46295</v>
      </c>
      <c r="L22" s="41" t="n"/>
    </row>
    <row r="23" ht="35.05" customHeight="1" s="29">
      <c r="A23" s="41" t="inlineStr">
        <is>
          <t>Mileage and telematics</t>
        </is>
      </c>
      <c r="B23" s="41" t="inlineStr">
        <is>
          <t>How mileage is set</t>
        </is>
      </c>
      <c r="C23" s="41" t="inlineStr">
        <is>
          <t>Estimated annual miles, with insurer allowed to request supporting information; verified-actual-mileage programs also allowed</t>
        </is>
      </c>
      <c r="D23" s="41" t="inlineStr">
        <is>
          <t>10 CCR 2632.5(c)(2)</t>
        </is>
      </c>
      <c r="E23" s="41" t="inlineStr">
        <is>
          <t>10 CCR section 2632.5 - Rating Factors (text via Cornell LII)</t>
        </is>
      </c>
      <c r="F23" s="42" t="inlineStr">
        <is>
          <t>https://www.law.cornell.edu/regulations/california/10-CCR-2632.5</t>
        </is>
      </c>
      <c r="G23" s="43" t="n">
        <v>46295</v>
      </c>
      <c r="H23" s="41" t="inlineStr">
        <is>
          <t>California</t>
        </is>
      </c>
      <c r="I23" s="41" t="inlineStr">
        <is>
          <t>Statute / regulation text</t>
        </is>
      </c>
      <c r="J23" s="44" t="inlineStr">
        <is>
          <t>Primary source</t>
        </is>
      </c>
      <c r="K23" s="43" t="n">
        <v>46295</v>
      </c>
      <c r="L23" s="41" t="n"/>
    </row>
    <row r="24" ht="35.05" customHeight="1" s="29">
      <c r="A24" s="41" t="inlineStr">
        <is>
          <t>Mileage and telematics</t>
        </is>
      </c>
      <c r="B24" s="41" t="inlineStr">
        <is>
          <t>Device restrictions</t>
        </is>
      </c>
      <c r="C24" s="41" t="inlineStr">
        <is>
          <t>Insurer may use a device only to collect actual miles driven and may not collect or store vehicle location (exceptions for roadside, theft, map, travel services)</t>
        </is>
      </c>
      <c r="D24" s="41" t="inlineStr">
        <is>
          <t>10 CCR 2632.5(c)(2)(F)(i)5</t>
        </is>
      </c>
      <c r="E24" s="41" t="inlineStr">
        <is>
          <t>10 CCR section 2632.5 - Rating Factors (text via Cornell LII)</t>
        </is>
      </c>
      <c r="F24" s="42" t="inlineStr">
        <is>
          <t>https://www.law.cornell.edu/regulations/california/10-CCR-2632.5</t>
        </is>
      </c>
      <c r="G24" s="43" t="n">
        <v>46295</v>
      </c>
      <c r="H24" s="41" t="inlineStr">
        <is>
          <t>California</t>
        </is>
      </c>
      <c r="I24" s="41" t="inlineStr">
        <is>
          <t>Statute / regulation text</t>
        </is>
      </c>
      <c r="J24" s="44" t="inlineStr">
        <is>
          <t>Primary source</t>
        </is>
      </c>
      <c r="K24" s="43" t="n">
        <v>46295</v>
      </c>
      <c r="L24" s="41" t="inlineStr">
        <is>
          <t>This may explain why behavior-based programs like Snapshot and Drivewise are not offered in CA. That link is my inference.</t>
        </is>
      </c>
    </row>
    <row r="25" ht="23.85" customHeight="1" s="29">
      <c r="A25" s="41" t="inlineStr">
        <is>
          <t>Discounts</t>
        </is>
      </c>
      <c r="B25" s="41" t="inlineStr">
        <is>
          <t>Good driver discount</t>
        </is>
      </c>
      <c r="C25" s="41" t="inlineStr">
        <is>
          <t>Rate at least 20% lower than a comparable non-good driver</t>
        </is>
      </c>
      <c r="D25" s="41" t="inlineStr">
        <is>
          <t>Ins. Code 1861.02; 10 CCR 2632.12; CDI Form 101</t>
        </is>
      </c>
      <c r="E25" s="41" t="inlineStr">
        <is>
          <t>10 CCR section 2632.12 - Good Driver Discount (text via Cornell LII)</t>
        </is>
      </c>
      <c r="F25" s="42" t="inlineStr">
        <is>
          <t>https://www.law.cornell.edu/regulations/california/10-CCR-2632.12</t>
        </is>
      </c>
      <c r="G25" s="43" t="n">
        <v>46295</v>
      </c>
      <c r="H25" s="41" t="inlineStr">
        <is>
          <t>California</t>
        </is>
      </c>
      <c r="I25" s="41" t="inlineStr">
        <is>
          <t>Statute / regulation text</t>
        </is>
      </c>
      <c r="J25" s="44" t="inlineStr">
        <is>
          <t>Primary source</t>
        </is>
      </c>
      <c r="K25" s="43" t="n">
        <v>46295</v>
      </c>
      <c r="L25" s="41" t="inlineStr">
        <is>
          <t>See statute row below for eligibility.</t>
        </is>
      </c>
    </row>
    <row r="26" ht="68.65000000000001" customHeight="1" s="29">
      <c r="A26" s="41" t="inlineStr">
        <is>
          <t>Discounts</t>
        </is>
      </c>
      <c r="B26" s="41" t="inlineStr">
        <is>
          <t>Good driver eligibility (statute)</t>
        </is>
      </c>
      <c r="C26" s="41" t="inlineStr">
        <is>
          <t>Licensed for the previous three years, and in that period: no more than one violation point (an at-fault property-damage accident counts as one point), no more than one non-confidential dismissal that would have carried more than one point, and not principally at fault in an accident causing injury or death</t>
        </is>
      </c>
      <c r="D26" s="41" t="inlineStr">
        <is>
          <t>Ins. Code 1861.025(a)-(b)</t>
        </is>
      </c>
      <c r="E26" s="41" t="inlineStr">
        <is>
          <t>CA Insurance Code section 1861.025 - Good Driver Discount eligibility (Justia)</t>
        </is>
      </c>
      <c r="F26" s="42" t="inlineStr">
        <is>
          <t>https://law.justia.com/codes/california/code-ins/division-1/part-2/chapter-9/article-10/section-1861-025/</t>
        </is>
      </c>
      <c r="G26" s="43" t="n">
        <v>46295</v>
      </c>
      <c r="H26" s="41" t="inlineStr">
        <is>
          <t>California</t>
        </is>
      </c>
      <c r="I26" s="41" t="inlineStr">
        <is>
          <t>Statute / regulation text</t>
        </is>
      </c>
      <c r="J26" s="44" t="inlineStr">
        <is>
          <t>Primary source</t>
        </is>
      </c>
      <c r="K26" s="43" t="n">
        <v>46295</v>
      </c>
      <c r="L26" s="41" t="inlineStr">
        <is>
          <t>CDI's consumer page mentions only the point limit. Further criteria in later subdivisions were not visible in the text I read; have counsel confirm before publishing eligibility rules.</t>
        </is>
      </c>
    </row>
    <row r="27" ht="23.85" customHeight="1" s="29">
      <c r="A27" s="41" t="inlineStr">
        <is>
          <t>Discounts</t>
        </is>
      </c>
      <c r="B27" s="41" t="inlineStr">
        <is>
          <t>Six-month vs annual policy</t>
        </is>
      </c>
      <c r="C27" s="41" t="inlineStr">
        <is>
          <t>Six-month premium must be one-half of the annual premium; no paid-in-full discount</t>
        </is>
      </c>
      <c r="D27" s="41" t="inlineStr">
        <is>
          <t>CDI Advisory Notice 2005-02</t>
        </is>
      </c>
      <c r="E27" s="41" t="inlineStr">
        <is>
          <t>CDI Rate Regulation Advisory Notice 2005-02 (May 2, 2005)</t>
        </is>
      </c>
      <c r="F27" s="42" t="inlineStr">
        <is>
          <t>https://www.insurance.ca.gov/0250-insurers/0300-insurers/0200-bulletins/bulletin-notices-commiss-opinion/upload/Advisory-Notice-2005-02.pdf</t>
        </is>
      </c>
      <c r="G27" s="43" t="n">
        <v>46295</v>
      </c>
      <c r="H27" s="41" t="inlineStr">
        <is>
          <t>California</t>
        </is>
      </c>
      <c r="I27" s="41" t="inlineStr">
        <is>
          <t>Regulator-published</t>
        </is>
      </c>
      <c r="J27" s="44" t="inlineStr">
        <is>
          <t>Primary source</t>
        </is>
      </c>
      <c r="K27" s="43" t="n">
        <v>46295</v>
      </c>
      <c r="L27" s="41" t="inlineStr">
        <is>
          <t>Dated May 2, 2005; confirm not superseded. Matters for your policy-term comparison feature.</t>
        </is>
      </c>
    </row>
    <row r="28" ht="23.85" customHeight="1" s="29">
      <c r="A28" s="41" t="inlineStr">
        <is>
          <t>Discounts</t>
        </is>
      </c>
      <c r="B28" s="41" t="inlineStr">
        <is>
          <t>Mature driver (55+) with DMV-approved course</t>
        </is>
      </c>
      <c r="C28" s="41" t="inlineStr">
        <is>
          <t>Every admitted insurer must provide a reduction; insurer sets the percentage</t>
        </is>
      </c>
      <c r="D28" s="41" t="inlineStr">
        <is>
          <t>Ins. Code 11628.3; 13 CCR 346.00</t>
        </is>
      </c>
      <c r="E28" s="41" t="inlineStr">
        <is>
          <t>CA Insurance Code section 11628.3 - Mature driver (text via FindLaw)</t>
        </is>
      </c>
      <c r="F28" s="42" t="inlineStr">
        <is>
          <t>https://codes.findlaw.com/ca/insurance-code/ins-sect-11628-3/</t>
        </is>
      </c>
      <c r="G28" s="43" t="n">
        <v>46295</v>
      </c>
      <c r="H28" s="41" t="inlineStr">
        <is>
          <t>California</t>
        </is>
      </c>
      <c r="I28" s="41" t="inlineStr">
        <is>
          <t>Statute / regulation text</t>
        </is>
      </c>
      <c r="J28" s="44" t="inlineStr">
        <is>
          <t>Primary source</t>
        </is>
      </c>
      <c r="K28" s="43" t="n">
        <v>46295</v>
      </c>
      <c r="L28" s="41" t="inlineStr">
        <is>
          <t>FindLaw may lag the latest law.</t>
        </is>
      </c>
    </row>
    <row r="29" ht="23.85" customHeight="1" s="29">
      <c r="A29" s="41" t="inlineStr">
        <is>
          <t>Programs</t>
        </is>
      </c>
      <c r="B29" s="41" t="inlineStr">
        <is>
          <t>Low Cost Auto (CLCA)</t>
        </is>
      </c>
      <c r="C29" s="41" t="inlineStr">
        <is>
          <t>Limits 10/20/3; income at or below 250% of federal poverty level; vehicle worth $25,000 or less; age 16+</t>
        </is>
      </c>
      <c r="D29" s="41" t="inlineStr">
        <is>
          <t>CDI Form 101</t>
        </is>
      </c>
      <c r="E29" s="41" t="inlineStr">
        <is>
          <t>CA Dept of Insurance - Introduction to Auto Insurance (Form 101, rev. Feb 5, 2025)</t>
        </is>
      </c>
      <c r="F29" s="42" t="inlineStr">
        <is>
          <t>https://www.insurance.ca.gov/01-consumers/105-type/95-guides/01-auto/auto101.cfm</t>
        </is>
      </c>
      <c r="G29" s="43" t="n">
        <v>46295</v>
      </c>
      <c r="H29" s="41" t="inlineStr">
        <is>
          <t>California</t>
        </is>
      </c>
      <c r="I29" s="41" t="inlineStr">
        <is>
          <t>Regulator-published</t>
        </is>
      </c>
      <c r="J29" s="44" t="inlineStr">
        <is>
          <t>Primary source</t>
        </is>
      </c>
      <c r="K29" s="43" t="n">
        <v>46295</v>
      </c>
      <c r="L29" s="41" t="inlineStr">
        <is>
          <t>CLCA limits unchanged by SB 1107 (CDI alert).</t>
        </is>
      </c>
    </row>
    <row r="30" ht="23.85" customHeight="1" s="29">
      <c r="A30" s="41" t="inlineStr">
        <is>
          <t>Programs</t>
        </is>
      </c>
      <c r="B30" s="41" t="inlineStr">
        <is>
          <t>High-risk drivers (CAARP)</t>
        </is>
      </c>
      <c r="C30" s="41" t="inlineStr">
        <is>
          <t>Assigned to an insurer; all licensed insurers must accept; same premiums across companies</t>
        </is>
      </c>
      <c r="D30" s="41" t="inlineStr">
        <is>
          <t>CDI Form 101</t>
        </is>
      </c>
      <c r="E30" s="41" t="inlineStr">
        <is>
          <t>CA Dept of Insurance - Introduction to Auto Insurance (Form 101, rev. Feb 5, 2025)</t>
        </is>
      </c>
      <c r="F30" s="42" t="inlineStr">
        <is>
          <t>https://www.insurance.ca.gov/01-consumers/105-type/95-guides/01-auto/auto101.cfm</t>
        </is>
      </c>
      <c r="G30" s="43" t="n">
        <v>46295</v>
      </c>
      <c r="H30" s="41" t="inlineStr">
        <is>
          <t>California</t>
        </is>
      </c>
      <c r="I30" s="41" t="inlineStr">
        <is>
          <t>Regulator-published</t>
        </is>
      </c>
      <c r="J30" s="44" t="inlineStr">
        <is>
          <t>Primary source</t>
        </is>
      </c>
      <c r="K30" s="43" t="n">
        <v>46295</v>
      </c>
      <c r="L30" s="41" t="n"/>
    </row>
    <row r="31" ht="23.85" customHeight="1" s="29">
      <c r="A31" s="41" t="inlineStr">
        <is>
          <t>Agents and brokers</t>
        </is>
      </c>
      <c r="B31" s="41" t="inlineStr">
        <is>
          <t>Licensing and pay</t>
        </is>
      </c>
      <c r="C31" s="41" t="inlineStr">
        <is>
          <t>All agents and brokers must be state licensed; agents paid by insurers; brokers may charge a broker fee</t>
        </is>
      </c>
      <c r="D31" s="41" t="inlineStr">
        <is>
          <t>CDI Form 101</t>
        </is>
      </c>
      <c r="E31" s="41" t="inlineStr">
        <is>
          <t>CA Dept of Insurance - Introduction to Auto Insurance (Form 101, rev. Feb 5, 2025)</t>
        </is>
      </c>
      <c r="F31" s="42" t="inlineStr">
        <is>
          <t>https://www.insurance.ca.gov/01-consumers/105-type/95-guides/01-auto/auto101.cfm</t>
        </is>
      </c>
      <c r="G31" s="43" t="n">
        <v>46295</v>
      </c>
      <c r="H31" s="41" t="inlineStr">
        <is>
          <t>California</t>
        </is>
      </c>
      <c r="I31" s="41" t="inlineStr">
        <is>
          <t>Regulator-published</t>
        </is>
      </c>
      <c r="J31" s="44" t="inlineStr">
        <is>
          <t>Primary source</t>
        </is>
      </c>
      <c r="K31" s="43" t="n">
        <v>46295</v>
      </c>
      <c r="L31" s="41" t="inlineStr">
        <is>
          <t>Relevant to your referral and lead-generation model.</t>
        </is>
      </c>
    </row>
    <row r="32" ht="23.85" customHeight="1" s="29">
      <c r="A32" s="41" t="inlineStr">
        <is>
          <t>Quotes</t>
        </is>
      </c>
      <c r="B32" s="41" t="inlineStr">
        <is>
          <t>What CDI calls a quote</t>
        </is>
      </c>
      <c r="C32" s="41" t="inlineStr">
        <is>
          <t>An estimate of premium; get quotes in writing and compare</t>
        </is>
      </c>
      <c r="D32" s="41" t="inlineStr">
        <is>
          <t>CDI Form 101</t>
        </is>
      </c>
      <c r="E32" s="41" t="inlineStr">
        <is>
          <t>CA Dept of Insurance - Introduction to Auto Insurance (Form 101, rev. Feb 5, 2025)</t>
        </is>
      </c>
      <c r="F32" s="42" t="inlineStr">
        <is>
          <t>https://www.insurance.ca.gov/01-consumers/105-type/95-guides/01-auto/auto101.cfm</t>
        </is>
      </c>
      <c r="G32" s="43" t="n">
        <v>46295</v>
      </c>
      <c r="H32" s="41" t="inlineStr">
        <is>
          <t>California</t>
        </is>
      </c>
      <c r="I32" s="41" t="inlineStr">
        <is>
          <t>Regulator-published</t>
        </is>
      </c>
      <c r="J32" s="44" t="inlineStr">
        <is>
          <t>Primary source</t>
        </is>
      </c>
      <c r="K32" s="43" t="n">
        <v>46295</v>
      </c>
      <c r="L32" s="41" t="inlineStr">
        <is>
          <t>Supports your 'estimate vs actual quote' labels.</t>
        </is>
      </c>
    </row>
  </sheetData>
  <autoFilter ref="A1:L32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www.dmv.ca.gov/portal/vehicle-registration/insurance-requirements/" r:id="rId1"/>
    <hyperlink xmlns:r="http://schemas.openxmlformats.org/officeDocument/2006/relationships" ref="F3" display="https://www.dmv.ca.gov/portal/vehicle-registration/insurance-requirements/" r:id="rId2"/>
    <hyperlink xmlns:r="http://schemas.openxmlformats.org/officeDocument/2006/relationships" ref="F4" display="https://www.dmv.ca.gov/portal/vehicle-registration/insurance-requirements/" r:id="rId3"/>
    <hyperlink xmlns:r="http://schemas.openxmlformats.org/officeDocument/2006/relationships" ref="F5" display="https://www.insurance.ca.gov/0400-news/0102-alerts/2024/California-s-Low-Cost-Auto-Insurance.cfm" r:id="rId4"/>
    <hyperlink xmlns:r="http://schemas.openxmlformats.org/officeDocument/2006/relationships" ref="F6" display="https://www.carinsurance.com/Articles/minimum-liability-car-insurance-requirements-by-state.aspx" r:id="rId5"/>
    <hyperlink xmlns:r="http://schemas.openxmlformats.org/officeDocument/2006/relationships" ref="F7" display="https://leginfo.legislature.ca.gov/faces/billNavClient.xhtml?bill_id=202120220SB1107" r:id="rId6"/>
    <hyperlink xmlns:r="http://schemas.openxmlformats.org/officeDocument/2006/relationships" ref="F8" display="https://www.dmv.ca.gov/portal/vehicle-registration/insurance-requirements/" r:id="rId7"/>
    <hyperlink xmlns:r="http://schemas.openxmlformats.org/officeDocument/2006/relationships" ref="F9" display="https://www.dmv.ca.gov/portal/vehicle-registration/insurance-requirements/" r:id="rId8"/>
    <hyperlink xmlns:r="http://schemas.openxmlformats.org/officeDocument/2006/relationships" ref="F10" display="https://www.dmv.ca.gov/portal/vehicle-registration/insurance-requirements/" r:id="rId9"/>
    <hyperlink xmlns:r="http://schemas.openxmlformats.org/officeDocument/2006/relationships" ref="F11" display="https://www.dmv.ca.gov/portal/vehicle-registration/insurance-requirements/" r:id="rId10"/>
    <hyperlink xmlns:r="http://schemas.openxmlformats.org/officeDocument/2006/relationships" ref="F12" display="https://www.insurance.ca.gov/01-consumers/105-type/95-guides/01-auto/auto101.cfm" r:id="rId11"/>
    <hyperlink xmlns:r="http://schemas.openxmlformats.org/officeDocument/2006/relationships" ref="F13" display="https://www.insurance.ca.gov/01-consumers/105-type/95-guides/01-auto/auto101.cfm" r:id="rId12"/>
    <hyperlink xmlns:r="http://schemas.openxmlformats.org/officeDocument/2006/relationships" ref="F14" display="https://www.insurance.ca.gov/01-consumers/105-type/95-guides/01-auto/auto101.cfm" r:id="rId13"/>
    <hyperlink xmlns:r="http://schemas.openxmlformats.org/officeDocument/2006/relationships" ref="F15" display="https://www.insurance.ca.gov/01-consumers/105-type/95-guides/01-auto/auto101.cfm" r:id="rId14"/>
    <hyperlink xmlns:r="http://schemas.openxmlformats.org/officeDocument/2006/relationships" ref="F16" display="https://www.insurance.ca.gov/01-consumers/105-type/95-guides/01-auto/auto101.cfm" r:id="rId15"/>
    <hyperlink xmlns:r="http://schemas.openxmlformats.org/officeDocument/2006/relationships" ref="F17" display="https://www.insurance.ca.gov/01-consumers/105-type/95-guides/01-auto/auto101.cfm" r:id="rId16"/>
    <hyperlink xmlns:r="http://schemas.openxmlformats.org/officeDocument/2006/relationships" ref="F18" display="https://www.law.cornell.edu/regulations/california/10-CCR-2632.5" r:id="rId17"/>
    <hyperlink xmlns:r="http://schemas.openxmlformats.org/officeDocument/2006/relationships" ref="F19" display="https://www.law.cornell.edu/regulations/california/10-CCR-2632.5" r:id="rId18"/>
    <hyperlink xmlns:r="http://schemas.openxmlformats.org/officeDocument/2006/relationships" ref="F20" display="https://www.law.cornell.edu/regulations/california/10-CCR-2632.5" r:id="rId19"/>
    <hyperlink xmlns:r="http://schemas.openxmlformats.org/officeDocument/2006/relationships" ref="F21" display="https://www.law.cornell.edu/regulations/california/10-CCR-2632.5" r:id="rId20"/>
    <hyperlink xmlns:r="http://schemas.openxmlformats.org/officeDocument/2006/relationships" ref="F22" display="https://www.law.cornell.edu/regulations/california/10-CCR-2632.5" r:id="rId21"/>
    <hyperlink xmlns:r="http://schemas.openxmlformats.org/officeDocument/2006/relationships" ref="F23" display="https://www.law.cornell.edu/regulations/california/10-CCR-2632.5" r:id="rId22"/>
    <hyperlink xmlns:r="http://schemas.openxmlformats.org/officeDocument/2006/relationships" ref="F24" display="https://www.law.cornell.edu/regulations/california/10-CCR-2632.5" r:id="rId23"/>
    <hyperlink xmlns:r="http://schemas.openxmlformats.org/officeDocument/2006/relationships" ref="F25" display="https://www.law.cornell.edu/regulations/california/10-CCR-2632.12" r:id="rId24"/>
    <hyperlink xmlns:r="http://schemas.openxmlformats.org/officeDocument/2006/relationships" ref="F26" display="https://law.justia.com/codes/california/code-ins/division-1/part-2/chapter-9/article-10/section-1861-025/" r:id="rId25"/>
    <hyperlink xmlns:r="http://schemas.openxmlformats.org/officeDocument/2006/relationships" ref="F27" display="https://www.insurance.ca.gov/0250-insurers/0300-insurers/0200-bulletins/bulletin-notices-commiss-opinion/upload/Advisory-Notice-2005-02.pdf" r:id="rId26"/>
    <hyperlink xmlns:r="http://schemas.openxmlformats.org/officeDocument/2006/relationships" ref="F28" display="https://codes.findlaw.com/ca/insurance-code/ins-sect-11628-3/" r:id="rId27"/>
    <hyperlink xmlns:r="http://schemas.openxmlformats.org/officeDocument/2006/relationships" ref="F29" display="https://www.insurance.ca.gov/01-consumers/105-type/95-guides/01-auto/auto101.cfm" r:id="rId28"/>
    <hyperlink xmlns:r="http://schemas.openxmlformats.org/officeDocument/2006/relationships" ref="F30" display="https://www.insurance.ca.gov/01-consumers/105-type/95-guides/01-auto/auto101.cfm" r:id="rId29"/>
    <hyperlink xmlns:r="http://schemas.openxmlformats.org/officeDocument/2006/relationships" ref="F31" display="https://www.insurance.ca.gov/01-consumers/105-type/95-guides/01-auto/auto101.cfm" r:id="rId30"/>
    <hyperlink xmlns:r="http://schemas.openxmlformats.org/officeDocument/2006/relationships" ref="F32" display="https://www.insurance.ca.gov/01-consumers/105-type/95-guides/01-auto/auto101.cfm" r:id="rId3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8" min="1" max="1"/>
    <col width="34" customWidth="1" style="28" min="2" max="2"/>
    <col width="60" customWidth="1" style="28" min="3" max="3"/>
    <col width="36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8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Requirement</t>
        </is>
      </c>
      <c r="B2" s="41" t="inlineStr">
        <is>
          <t>Is homeowners insurance required?</t>
        </is>
      </c>
      <c r="C2" s="41" t="inlineStr">
        <is>
          <t>No. Lenders require enough coverage; lenders require flood insurance in federally mapped high-risk flood zones</t>
        </is>
      </c>
      <c r="D2" s="41" t="inlineStr">
        <is>
          <t>CDI Homeowners flyer (Dec 2024)</t>
        </is>
      </c>
      <c r="E2" s="41" t="inlineStr">
        <is>
          <t>CA Dept of Insurance - Homeowners Insurance flyer (Dec 2024)</t>
        </is>
      </c>
      <c r="F2" s="42" t="inlineStr">
        <is>
          <t>https://www.insurance.ca.gov/01-consumers/105-type/95-guides/upload/Homeowners-Insurance-Updated-121924.pdf</t>
        </is>
      </c>
      <c r="G2" s="43" t="n">
        <v>46295</v>
      </c>
      <c r="H2" s="41" t="inlineStr">
        <is>
          <t>California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n"/>
    </row>
    <row r="3" ht="35.05" customHeight="1" s="29">
      <c r="A3" s="41" t="inlineStr">
        <is>
          <t>Coverage</t>
        </is>
      </c>
      <c r="B3" s="41" t="inlineStr">
        <is>
          <t>Coverage A - Dwelling</t>
        </is>
      </c>
      <c r="C3" s="41" t="inlineStr">
        <is>
          <t>Protects the house and attached structures from covered perils</t>
        </is>
      </c>
      <c r="D3" s="41" t="inlineStr">
        <is>
          <t>CDI Form 401</t>
        </is>
      </c>
      <c r="E3" s="41" t="inlineStr">
        <is>
          <t>CA Dept of Insurance - Residential Insurance: Homeowners and Renters (Form 401, rev. Jan 2026)</t>
        </is>
      </c>
      <c r="F3" s="42" t="inlineStr">
        <is>
          <t>https://www.insurance.ca.gov/01-consumers/105-type/95-guides/03-res/res-ins-guide.cfm</t>
        </is>
      </c>
      <c r="G3" s="43" t="n">
        <v>46295</v>
      </c>
      <c r="H3" s="41" t="inlineStr">
        <is>
          <t>California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n"/>
    </row>
    <row r="4" ht="35.05" customHeight="1" s="29">
      <c r="A4" s="41" t="inlineStr">
        <is>
          <t>Coverage</t>
        </is>
      </c>
      <c r="B4" s="41" t="inlineStr">
        <is>
          <t>Coverage B - Other structures</t>
        </is>
      </c>
      <c r="C4" s="41" t="inlineStr">
        <is>
          <t>Normally limited to 10% of Coverage A; more available for extra premium</t>
        </is>
      </c>
      <c r="D4" s="41" t="inlineStr">
        <is>
          <t>CDI Form 401</t>
        </is>
      </c>
      <c r="E4" s="41" t="inlineStr">
        <is>
          <t>CA Dept of Insurance - Residential Insurance: Homeowners and Renters (Form 401, rev. Jan 2026)</t>
        </is>
      </c>
      <c r="F4" s="42" t="inlineStr">
        <is>
          <t>https://www.insurance.ca.gov/01-consumers/105-type/95-guides/03-res/res-ins-guide.cfm</t>
        </is>
      </c>
      <c r="G4" s="43" t="n">
        <v>46295</v>
      </c>
      <c r="H4" s="41" t="inlineStr">
        <is>
          <t>California</t>
        </is>
      </c>
      <c r="I4" s="41" t="inlineStr">
        <is>
          <t>Regulator-published</t>
        </is>
      </c>
      <c r="J4" s="44" t="inlineStr">
        <is>
          <t>Primary source</t>
        </is>
      </c>
      <c r="K4" s="43" t="n">
        <v>46295</v>
      </c>
      <c r="L4" s="41" t="n"/>
    </row>
    <row r="5" ht="35.05" customHeight="1" s="29">
      <c r="A5" s="41" t="inlineStr">
        <is>
          <t>Coverage</t>
        </is>
      </c>
      <c r="B5" s="41" t="inlineStr">
        <is>
          <t>Coverage C - Personal property</t>
        </is>
      </c>
      <c r="C5" s="41" t="inlineStr">
        <is>
          <t>Contents limit generally about 50% of dwelling (a guideline only); special limits on jewelry, antiques, furs, collectibles, fine art, firearms, silverware, money</t>
        </is>
      </c>
      <c r="D5" s="41" t="inlineStr">
        <is>
          <t>CDI Form 401</t>
        </is>
      </c>
      <c r="E5" s="41" t="inlineStr">
        <is>
          <t>CA Dept of Insurance - Residential Insurance: Homeowners and Renters (Form 401, rev. Jan 2026)</t>
        </is>
      </c>
      <c r="F5" s="42" t="inlineStr">
        <is>
          <t>https://www.insurance.ca.gov/01-consumers/105-type/95-guides/03-res/res-ins-guide.cfm</t>
        </is>
      </c>
      <c r="G5" s="43" t="n">
        <v>46295</v>
      </c>
      <c r="H5" s="41" t="inlineStr">
        <is>
          <t>California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inlineStr">
        <is>
          <t>Special limits sit inside the overall contents limit, not on top of it; scheduling items separately is the fix.</t>
        </is>
      </c>
    </row>
    <row r="6" ht="35.05" customHeight="1" s="29">
      <c r="A6" s="41" t="inlineStr">
        <is>
          <t>Coverage</t>
        </is>
      </c>
      <c r="B6" s="41" t="inlineStr">
        <is>
          <t>Coverage D - Loss of use</t>
        </is>
      </c>
      <c r="C6" s="41" t="inlineStr">
        <is>
          <t>Normally limited to 20% of Coverage A (renters: 20% of C; condo: 40% of C)</t>
        </is>
      </c>
      <c r="D6" s="41" t="inlineStr">
        <is>
          <t>CDI Form 401</t>
        </is>
      </c>
      <c r="E6" s="41" t="inlineStr">
        <is>
          <t>CA Dept of Insurance - Residential Insurance: Homeowners and Renters (Form 401, rev. Jan 2026)</t>
        </is>
      </c>
      <c r="F6" s="42" t="inlineStr">
        <is>
          <t>https://www.insurance.ca.gov/01-consumers/105-type/95-guides/03-res/res-ins-guide.cfm</t>
        </is>
      </c>
      <c r="G6" s="43" t="n">
        <v>46295</v>
      </c>
      <c r="H6" s="41" t="inlineStr">
        <is>
          <t>California</t>
        </is>
      </c>
      <c r="I6" s="41" t="inlineStr">
        <is>
          <t>Regulator-published</t>
        </is>
      </c>
      <c r="J6" s="44" t="inlineStr">
        <is>
          <t>Primary source</t>
        </is>
      </c>
      <c r="K6" s="43" t="n">
        <v>46295</v>
      </c>
      <c r="L6" s="41" t="n"/>
    </row>
    <row r="7" ht="35.05" customHeight="1" s="29">
      <c r="A7" s="41" t="inlineStr">
        <is>
          <t>Coverage</t>
        </is>
      </c>
      <c r="B7" s="41" t="inlineStr">
        <is>
          <t>Coverage E and F</t>
        </is>
      </c>
      <c r="C7" s="41" t="inlineStr">
        <is>
          <t>E: personal liability. F: medical payments to others (not for household members)</t>
        </is>
      </c>
      <c r="D7" s="41" t="inlineStr">
        <is>
          <t>CDI Form 401</t>
        </is>
      </c>
      <c r="E7" s="41" t="inlineStr">
        <is>
          <t>CA Dept of Insurance - Residential Insurance: Homeowners and Renters (Form 401, rev. Jan 2026)</t>
        </is>
      </c>
      <c r="F7" s="42" t="inlineStr">
        <is>
          <t>https://www.insurance.ca.gov/01-consumers/105-type/95-guides/03-res/res-ins-guide.cfm</t>
        </is>
      </c>
      <c r="G7" s="43" t="n">
        <v>46295</v>
      </c>
      <c r="H7" s="41" t="inlineStr">
        <is>
          <t>California</t>
        </is>
      </c>
      <c r="I7" s="41" t="inlineStr">
        <is>
          <t>Regulator-published</t>
        </is>
      </c>
      <c r="J7" s="44" t="inlineStr">
        <is>
          <t>Primary source</t>
        </is>
      </c>
      <c r="K7" s="43" t="n">
        <v>46295</v>
      </c>
      <c r="L7" s="41" t="n"/>
    </row>
    <row r="8" ht="35.05" customHeight="1" s="29">
      <c r="A8" s="41" t="inlineStr">
        <is>
          <t>Coverage</t>
        </is>
      </c>
      <c r="B8" s="41" t="inlineStr">
        <is>
          <t>Perils generally NOT covered</t>
        </is>
      </c>
      <c r="C8" s="41" t="inlineStr">
        <is>
          <t>Flood, earthquake, earth movement, termites and pests, seepage/leaks, vacancy of 60+ days, mold, wear and tear, war, neglect, nuclear hazard</t>
        </is>
      </c>
      <c r="D8" s="41" t="inlineStr">
        <is>
          <t>CDI Form 401</t>
        </is>
      </c>
      <c r="E8" s="41" t="inlineStr">
        <is>
          <t>CA Dept of Insurance - Residential Insurance: Homeowners and Renters (Form 401, rev. Jan 2026)</t>
        </is>
      </c>
      <c r="F8" s="42" t="inlineStr">
        <is>
          <t>https://www.insurance.ca.gov/01-consumers/105-type/95-guides/03-res/res-ins-guide.cfm</t>
        </is>
      </c>
      <c r="G8" s="43" t="n">
        <v>46295</v>
      </c>
      <c r="H8" s="41" t="inlineStr">
        <is>
          <t>California</t>
        </is>
      </c>
      <c r="I8" s="41" t="inlineStr">
        <is>
          <t>Regulator-published</t>
        </is>
      </c>
      <c r="J8" s="44" t="inlineStr">
        <is>
          <t>Primary source</t>
        </is>
      </c>
      <c r="K8" s="43" t="n">
        <v>46295</v>
      </c>
      <c r="L8" s="41" t="inlineStr">
        <is>
          <t>Read the actual policy exclusions.</t>
        </is>
      </c>
    </row>
    <row r="9" ht="35.05" customHeight="1" s="29">
      <c r="A9" s="41" t="inlineStr">
        <is>
          <t>Limits</t>
        </is>
      </c>
      <c r="B9" s="41" t="inlineStr">
        <is>
          <t>How to set the dwelling limit</t>
        </is>
      </c>
      <c r="C9" s="41" t="inlineStr">
        <is>
          <t>Should equal the cost to rebuild, not purchase price or market value; land is not covered</t>
        </is>
      </c>
      <c r="D9" s="41" t="inlineStr">
        <is>
          <t>CDI Form 401</t>
        </is>
      </c>
      <c r="E9" s="41" t="inlineStr">
        <is>
          <t>CA Dept of Insurance - Residential Insurance: Homeowners and Renters (Form 401, rev. Jan 2026)</t>
        </is>
      </c>
      <c r="F9" s="42" t="inlineStr">
        <is>
          <t>https://www.insurance.ca.gov/01-consumers/105-type/95-guides/03-res/res-ins-guide.cfm</t>
        </is>
      </c>
      <c r="G9" s="43" t="n">
        <v>46295</v>
      </c>
      <c r="H9" s="41" t="inlineStr">
        <is>
          <t>California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n"/>
    </row>
    <row r="10" ht="35.05" customHeight="1" s="29">
      <c r="A10" s="41" t="inlineStr">
        <is>
          <t>Limits</t>
        </is>
      </c>
      <c r="B10" s="41" t="inlineStr">
        <is>
          <t>Replacement cost estimates</t>
        </is>
      </c>
      <c r="C10" s="41" t="inlineStr">
        <is>
          <t>If an insurer or broker gives a replacement cost estimate, a copy must be given to the applicant or insured who buys the coverage</t>
        </is>
      </c>
      <c r="D10" s="41" t="inlineStr">
        <is>
          <t>CDI Form 401</t>
        </is>
      </c>
      <c r="E10" s="41" t="inlineStr">
        <is>
          <t>CA Dept of Insurance - Residential Insurance: Homeowners and Renters (Form 401, rev. Jan 2026)</t>
        </is>
      </c>
      <c r="F10" s="42" t="inlineStr">
        <is>
          <t>https://www.insurance.ca.gov/01-consumers/105-type/95-guides/03-res/res-ins-guide.cfm</t>
        </is>
      </c>
      <c r="G10" s="43" t="n">
        <v>46295</v>
      </c>
      <c r="H10" s="41" t="inlineStr">
        <is>
          <t>California</t>
        </is>
      </c>
      <c r="I10" s="41" t="inlineStr">
        <is>
          <t>Regulator-published</t>
        </is>
      </c>
      <c r="J10" s="44" t="inlineStr">
        <is>
          <t>Primary source</t>
        </is>
      </c>
      <c r="K10" s="43" t="n">
        <v>46295</v>
      </c>
      <c r="L10" s="41" t="inlineStr">
        <is>
          <t>Relevant if your site ever shows a rebuild-cost estimate.</t>
        </is>
      </c>
    </row>
    <row r="11" ht="35.05" customHeight="1" s="29">
      <c r="A11" s="41" t="inlineStr">
        <is>
          <t>Limits</t>
        </is>
      </c>
      <c r="B11" s="41" t="inlineStr">
        <is>
          <t>'Guaranteed replacement cost' label</t>
        </is>
      </c>
      <c r="C11" s="41" t="inlineStr">
        <is>
          <t>May be used only if the policy pays to fully rebuild regardless of the limit; other forms pay the limit plus a percentage; SB 1855 renamed 'Extended' to 'Limited Replacement Cost' in disclosures</t>
        </is>
      </c>
      <c r="D11" s="41" t="inlineStr">
        <is>
          <t>CDI Form 401</t>
        </is>
      </c>
      <c r="E11" s="41" t="inlineStr">
        <is>
          <t>CA Dept of Insurance - Residential Insurance: Homeowners and Renters (Form 401, rev. Jan 2026)</t>
        </is>
      </c>
      <c r="F11" s="42" t="inlineStr">
        <is>
          <t>https://www.insurance.ca.gov/01-consumers/105-type/95-guides/03-res/res-ins-guide.cfm</t>
        </is>
      </c>
      <c r="G11" s="43" t="n">
        <v>46295</v>
      </c>
      <c r="H11" s="41" t="inlineStr">
        <is>
          <t>California</t>
        </is>
      </c>
      <c r="I11" s="41" t="inlineStr">
        <is>
          <t>Regulator-published</t>
        </is>
      </c>
      <c r="J11" s="44" t="inlineStr">
        <is>
          <t>Primary source</t>
        </is>
      </c>
      <c r="K11" s="43" t="n">
        <v>46295</v>
      </c>
      <c r="L11" s="41" t="n"/>
    </row>
    <row r="12" ht="35.05" customHeight="1" s="29">
      <c r="A12" s="41" t="inlineStr">
        <is>
          <t>Limits</t>
        </is>
      </c>
      <c r="B12" s="41" t="inlineStr">
        <is>
          <t>Building code upgrade (ordinance or law)</t>
        </is>
      </c>
      <c r="C12" s="41" t="inlineStr">
        <is>
          <t>Some policies lack it; available by endorsement</t>
        </is>
      </c>
      <c r="D12" s="41" t="inlineStr">
        <is>
          <t>CDI Form 401</t>
        </is>
      </c>
      <c r="E12" s="41" t="inlineStr">
        <is>
          <t>CA Dept of Insurance - Residential Insurance: Homeowners and Renters (Form 401, rev. Jan 2026)</t>
        </is>
      </c>
      <c r="F12" s="42" t="inlineStr">
        <is>
          <t>https://www.insurance.ca.gov/01-consumers/105-type/95-guides/03-res/res-ins-guide.cfm</t>
        </is>
      </c>
      <c r="G12" s="43" t="n">
        <v>46295</v>
      </c>
      <c r="H12" s="41" t="inlineStr">
        <is>
          <t>California</t>
        </is>
      </c>
      <c r="I12" s="41" t="inlineStr">
        <is>
          <t>Regulator-published</t>
        </is>
      </c>
      <c r="J12" s="44" t="inlineStr">
        <is>
          <t>Primary source</t>
        </is>
      </c>
      <c r="K12" s="43" t="n">
        <v>46295</v>
      </c>
      <c r="L12" s="41" t="n"/>
    </row>
    <row r="13" ht="35.05" customHeight="1" s="29">
      <c r="A13" s="41" t="inlineStr">
        <is>
          <t>Limits</t>
        </is>
      </c>
      <c r="B13" s="41" t="inlineStr">
        <is>
          <t>Actual cash value (ACV)</t>
        </is>
      </c>
      <c r="C13" s="41" t="inlineStr">
        <is>
          <t>Total loss: lesser of policy limit or fair market value. Partial loss: repair cost minus depreciation, or the limit</t>
        </is>
      </c>
      <c r="D13" s="41" t="inlineStr">
        <is>
          <t>CDI Form 401 glossary</t>
        </is>
      </c>
      <c r="E13" s="41" t="inlineStr">
        <is>
          <t>CA Dept of Insurance - Residential Insurance: Homeowners and Renters (Form 401, rev. Jan 2026)</t>
        </is>
      </c>
      <c r="F13" s="42" t="inlineStr">
        <is>
          <t>https://www.insurance.ca.gov/01-consumers/105-type/95-guides/03-res/res-ins-guide.cfm</t>
        </is>
      </c>
      <c r="G13" s="43" t="n">
        <v>46295</v>
      </c>
      <c r="H13" s="41" t="inlineStr">
        <is>
          <t>California</t>
        </is>
      </c>
      <c r="I13" s="41" t="inlineStr">
        <is>
          <t>Regulator-published</t>
        </is>
      </c>
      <c r="J13" s="44" t="inlineStr">
        <is>
          <t>Primary source</t>
        </is>
      </c>
      <c r="K13" s="43" t="n">
        <v>46295</v>
      </c>
      <c r="L13" s="41" t="n"/>
    </row>
    <row r="14" ht="35.05" customHeight="1" s="29">
      <c r="A14" s="41" t="inlineStr">
        <is>
          <t>Discounts</t>
        </is>
      </c>
      <c r="B14" s="41" t="inlineStr">
        <is>
          <t>Discounts named by CDI</t>
        </is>
      </c>
      <c r="C14" s="41" t="inlineStr">
        <is>
          <t>Burglar alarms and fire protection devices such as smoke detectors, alarms and sprinklers; higher deductible can significantly cut premium</t>
        </is>
      </c>
      <c r="D14" s="41" t="inlineStr">
        <is>
          <t>CDI Form 401</t>
        </is>
      </c>
      <c r="E14" s="41" t="inlineStr">
        <is>
          <t>CA Dept of Insurance - Residential Insurance: Homeowners and Renters (Form 401, rev. Jan 2026)</t>
        </is>
      </c>
      <c r="F14" s="42" t="inlineStr">
        <is>
          <t>https://www.insurance.ca.gov/01-consumers/105-type/95-guides/03-res/res-ins-guide.cfm</t>
        </is>
      </c>
      <c r="G14" s="43" t="n">
        <v>46295</v>
      </c>
      <c r="H14" s="41" t="inlineStr">
        <is>
          <t>California</t>
        </is>
      </c>
      <c r="I14" s="41" t="inlineStr">
        <is>
          <t>Regulator-published</t>
        </is>
      </c>
      <c r="J14" s="44" t="inlineStr">
        <is>
          <t>Primary source</t>
        </is>
      </c>
      <c r="K14" s="43" t="n">
        <v>46295</v>
      </c>
      <c r="L14" s="41" t="n"/>
    </row>
    <row r="15" ht="23.85" customHeight="1" s="29">
      <c r="A15" s="41" t="inlineStr">
        <is>
          <t>Discounts</t>
        </is>
      </c>
      <c r="B15" s="41" t="inlineStr">
        <is>
          <t>Safer from Wildfires</t>
        </is>
      </c>
      <c r="C15" s="41" t="inlineStr">
        <is>
          <t>Every action under the framework qualifies for an insurance discount (structure, surroundings, community)</t>
        </is>
      </c>
      <c r="D15" s="41" t="inlineStr">
        <is>
          <t>10 CCR 2644.9 (CDI page)</t>
        </is>
      </c>
      <c r="E15" s="41" t="inlineStr">
        <is>
          <t>CA Dept of Insurance - Safer from Wildfires</t>
        </is>
      </c>
      <c r="F15" s="42" t="inlineStr">
        <is>
          <t>https://www.insurance.ca.gov/01-consumers/200-wrr/Safer-from-Wildfires.cfm</t>
        </is>
      </c>
      <c r="G15" s="43" t="n">
        <v>46295</v>
      </c>
      <c r="H15" s="41" t="inlineStr">
        <is>
          <t>California</t>
        </is>
      </c>
      <c r="I15" s="41" t="inlineStr">
        <is>
          <t>Regulator-published</t>
        </is>
      </c>
      <c r="J15" s="44" t="inlineStr">
        <is>
          <t>Primary source</t>
        </is>
      </c>
      <c r="K15" s="43" t="n">
        <v>46295</v>
      </c>
      <c r="L15" s="41" t="inlineStr">
        <is>
          <t>Secondary sites often cite this as 'Insurance Code 2644.9'; it is a Title 10 regulation.</t>
        </is>
      </c>
    </row>
    <row r="16" ht="23.85" customHeight="1" s="29">
      <c r="A16" s="41" t="inlineStr">
        <is>
          <t>Discounts</t>
        </is>
      </c>
      <c r="B16" s="41" t="inlineStr">
        <is>
          <t>Disclosure and appeal of wildfire risk score</t>
        </is>
      </c>
      <c r="C16" s="41" t="inlineStr">
        <is>
          <t>Insurers must disclose available discounts and the policyholder's risk score, and allow an appeal</t>
        </is>
      </c>
      <c r="D16" s="41" t="inlineStr">
        <is>
          <t>10 CCR 2644.9 (per research paper)</t>
        </is>
      </c>
      <c r="E16" s="41" t="inlineStr">
        <is>
          <t>Resources for the Future - Insurance discounts for wildfire mitigation (WP 25-30)</t>
        </is>
      </c>
      <c r="F16" s="42" t="inlineStr">
        <is>
          <t>https://media.rff.org/documents/WP_25-30.pdf</t>
        </is>
      </c>
      <c r="G16" s="43" t="n">
        <v>46295</v>
      </c>
      <c r="H16" s="41" t="inlineStr">
        <is>
          <t>California</t>
        </is>
      </c>
      <c r="I16" s="41" t="inlineStr">
        <is>
          <t>Reference data (secondary source)</t>
        </is>
      </c>
      <c r="J16" s="45" t="inlineStr">
        <is>
          <t>Secondary - unverified</t>
        </is>
      </c>
      <c r="K16" s="43" t="n">
        <v>46295</v>
      </c>
      <c r="L16" s="41" t="inlineStr">
        <is>
          <t>Confirm in the regulation text.</t>
        </is>
      </c>
    </row>
    <row r="17" ht="35.05" customHeight="1" s="29">
      <c r="A17" s="41" t="inlineStr">
        <is>
          <t>Rates</t>
        </is>
      </c>
      <c r="B17" s="41" t="inlineStr">
        <is>
          <t>Who approves rates</t>
        </is>
      </c>
      <c r="C17" s="41" t="inlineStr">
        <is>
          <t>Each insurer calculates its own rates, subject to CDI approval</t>
        </is>
      </c>
      <c r="D17" s="41" t="inlineStr">
        <is>
          <t>CDI residential one-pager</t>
        </is>
      </c>
      <c r="E17" s="41" t="inlineStr">
        <is>
          <t>CA Dept of Insurance - Residential Insurance: Homeowners and Renters (Form 401, rev. Jan 2026)</t>
        </is>
      </c>
      <c r="F17" s="42" t="inlineStr">
        <is>
          <t>https://www.insurance.ca.gov/01-consumers/105-type/95-guides/03-res/res-ins-guide.cfm</t>
        </is>
      </c>
      <c r="G17" s="43" t="n">
        <v>46295</v>
      </c>
      <c r="H17" s="41" t="inlineStr">
        <is>
          <t>California</t>
        </is>
      </c>
      <c r="I17" s="41" t="inlineStr">
        <is>
          <t>Regulator-published</t>
        </is>
      </c>
      <c r="J17" s="44" t="inlineStr">
        <is>
          <t>Primary source</t>
        </is>
      </c>
      <c r="K17" s="43" t="n">
        <v>46295</v>
      </c>
      <c r="L17" s="41" t="inlineStr">
        <is>
          <t>Snippet of the one-pager was truncated; confirm wording.</t>
        </is>
      </c>
    </row>
    <row r="18" ht="35.05" customHeight="1" s="29">
      <c r="A18" s="41" t="inlineStr">
        <is>
          <t>Rights</t>
        </is>
      </c>
      <c r="B18" s="41" t="inlineStr">
        <is>
          <t>Cancellation</t>
        </is>
      </c>
      <c r="C18" s="41" t="inlineStr">
        <is>
          <t>After 60 days, only for nonpayment, fraud, material misrepresentation, or physical changes that increase hazard; 20 days' notice (10 for nonpayment or fraud)</t>
        </is>
      </c>
      <c r="D18" s="41" t="inlineStr">
        <is>
          <t>CDI Form 401</t>
        </is>
      </c>
      <c r="E18" s="41" t="inlineStr">
        <is>
          <t>CA Dept of Insurance - Residential Insurance: Homeowners and Renters (Form 401, rev. Jan 2026)</t>
        </is>
      </c>
      <c r="F18" s="42" t="inlineStr">
        <is>
          <t>https://www.insurance.ca.gov/01-consumers/105-type/95-guides/03-res/res-ins-guide.cfm</t>
        </is>
      </c>
      <c r="G18" s="43" t="n">
        <v>46295</v>
      </c>
      <c r="H18" s="41" t="inlineStr">
        <is>
          <t>California</t>
        </is>
      </c>
      <c r="I18" s="41" t="inlineStr">
        <is>
          <t>Regulator-published</t>
        </is>
      </c>
      <c r="J18" s="44" t="inlineStr">
        <is>
          <t>Primary source</t>
        </is>
      </c>
      <c r="K18" s="43" t="n">
        <v>46295</v>
      </c>
      <c r="L18" s="41" t="n"/>
    </row>
    <row r="19" ht="35.05" customHeight="1" s="29">
      <c r="A19" s="41" t="inlineStr">
        <is>
          <t>Rights</t>
        </is>
      </c>
      <c r="B19" s="41" t="inlineStr">
        <is>
          <t>Nonrenewal</t>
        </is>
      </c>
      <c r="C19" s="41" t="inlineStr">
        <is>
          <t>Written notice at least 75 days before expiration with the reason; if late, the existing policy stays in effect 75 days from notice</t>
        </is>
      </c>
      <c r="D19" s="41" t="inlineStr">
        <is>
          <t>CDI Form 401</t>
        </is>
      </c>
      <c r="E19" s="41" t="inlineStr">
        <is>
          <t>CA Dept of Insurance - Residential Insurance: Homeowners and Renters (Form 401, rev. Jan 2026)</t>
        </is>
      </c>
      <c r="F19" s="42" t="inlineStr">
        <is>
          <t>https://www.insurance.ca.gov/01-consumers/105-type/95-guides/03-res/res-ins-guide.cfm</t>
        </is>
      </c>
      <c r="G19" s="43" t="n">
        <v>46295</v>
      </c>
      <c r="H19" s="41" t="inlineStr">
        <is>
          <t>California</t>
        </is>
      </c>
      <c r="I19" s="41" t="inlineStr">
        <is>
          <t>Regulator-published</t>
        </is>
      </c>
      <c r="J19" s="44" t="inlineStr">
        <is>
          <t>Primary source</t>
        </is>
      </c>
      <c r="K19" s="43" t="n">
        <v>46295</v>
      </c>
      <c r="L19" s="41" t="n"/>
    </row>
    <row r="20" ht="35.05" customHeight="1" s="29">
      <c r="A20" s="41" t="inlineStr">
        <is>
          <t>Rights</t>
        </is>
      </c>
      <c r="B20" s="41" t="inlineStr">
        <is>
          <t>Premium verification</t>
        </is>
      </c>
      <c r="C20" s="41" t="inlineStr">
        <is>
          <t>Insurer has 60 days to verify rating and underwriting of a new policy and notify of errors</t>
        </is>
      </c>
      <c r="D20" s="41" t="inlineStr">
        <is>
          <t>CDI Form 401</t>
        </is>
      </c>
      <c r="E20" s="41" t="inlineStr">
        <is>
          <t>CA Dept of Insurance - Residential Insurance: Homeowners and Renters (Form 401, rev. Jan 2026)</t>
        </is>
      </c>
      <c r="F20" s="42" t="inlineStr">
        <is>
          <t>https://www.insurance.ca.gov/01-consumers/105-type/95-guides/03-res/res-ins-guide.cfm</t>
        </is>
      </c>
      <c r="G20" s="43" t="n">
        <v>46295</v>
      </c>
      <c r="H20" s="41" t="inlineStr">
        <is>
          <t>California</t>
        </is>
      </c>
      <c r="I20" s="41" t="inlineStr">
        <is>
          <t>Regulator-published</t>
        </is>
      </c>
      <c r="J20" s="44" t="inlineStr">
        <is>
          <t>Primary source</t>
        </is>
      </c>
      <c r="K20" s="43" t="n">
        <v>46295</v>
      </c>
      <c r="L20" s="41" t="n"/>
    </row>
    <row r="21" ht="35.05" customHeight="1" s="29">
      <c r="A21" s="41" t="inlineStr">
        <is>
          <t>Rights</t>
        </is>
      </c>
      <c r="B21" s="41" t="inlineStr">
        <is>
          <t>Time to rebuild (AB 2199)</t>
        </is>
      </c>
      <c r="C21" s="41" t="inlineStr">
        <is>
          <t>At least 12 months (plus 6-month extensions for good cause); 24 months after a declared emergency; may rebuild elsewhere</t>
        </is>
      </c>
      <c r="D21" s="41" t="inlineStr">
        <is>
          <t>CDI Form 401</t>
        </is>
      </c>
      <c r="E21" s="41" t="inlineStr">
        <is>
          <t>CA Dept of Insurance - Residential Insurance: Homeowners and Renters (Form 401, rev. Jan 2026)</t>
        </is>
      </c>
      <c r="F21" s="42" t="inlineStr">
        <is>
          <t>https://www.insurance.ca.gov/01-consumers/105-type/95-guides/03-res/res-ins-guide.cfm</t>
        </is>
      </c>
      <c r="G21" s="43" t="n">
        <v>46295</v>
      </c>
      <c r="H21" s="41" t="inlineStr">
        <is>
          <t>California</t>
        </is>
      </c>
      <c r="I21" s="41" t="inlineStr">
        <is>
          <t>Regulator-published</t>
        </is>
      </c>
      <c r="J21" s="44" t="inlineStr">
        <is>
          <t>Primary source</t>
        </is>
      </c>
      <c r="K21" s="43" t="n">
        <v>46295</v>
      </c>
      <c r="L21" s="41" t="n"/>
    </row>
    <row r="22" ht="35.05" customHeight="1" s="29">
      <c r="A22" s="41" t="inlineStr">
        <is>
          <t>Rights</t>
        </is>
      </c>
      <c r="B22" s="41" t="inlineStr">
        <is>
          <t>Total loss protections (AB 2962)</t>
        </is>
      </c>
      <c r="C22" s="41" t="inlineStr">
        <is>
          <t>Insurer must consult at renewal; cannot cancel mid-rebuild except for fraud; must renew at least once after a declared-disaster total loss not caused by negligence</t>
        </is>
      </c>
      <c r="D22" s="41" t="inlineStr">
        <is>
          <t>CDI Form 401</t>
        </is>
      </c>
      <c r="E22" s="41" t="inlineStr">
        <is>
          <t>CA Dept of Insurance - Residential Insurance: Homeowners and Renters (Form 401, rev. Jan 2026)</t>
        </is>
      </c>
      <c r="F22" s="42" t="inlineStr">
        <is>
          <t>https://www.insurance.ca.gov/01-consumers/105-type/95-guides/03-res/res-ins-guide.cfm</t>
        </is>
      </c>
      <c r="G22" s="43" t="n">
        <v>46295</v>
      </c>
      <c r="H22" s="41" t="inlineStr">
        <is>
          <t>California</t>
        </is>
      </c>
      <c r="I22" s="41" t="inlineStr">
        <is>
          <t>Regulator-published</t>
        </is>
      </c>
      <c r="J22" s="44" t="inlineStr">
        <is>
          <t>Primary source</t>
        </is>
      </c>
      <c r="K22" s="43" t="n">
        <v>46295</v>
      </c>
      <c r="L22" s="41" t="n"/>
    </row>
    <row r="23" ht="35.05" customHeight="1" s="29">
      <c r="A23" s="41" t="inlineStr">
        <is>
          <t>Rights</t>
        </is>
      </c>
      <c r="B23" s="41" t="inlineStr">
        <is>
          <t>Wildfire non-renewal moratorium</t>
        </is>
      </c>
      <c r="C23" s="41" t="inlineStr">
        <is>
          <t>Bars non-renewal of residential policies for one year after a declared wildfire (SB 824); SB 547 extends this to commercial policies from Jan 1, 2026</t>
        </is>
      </c>
      <c r="D23" s="41" t="inlineStr">
        <is>
          <t>CDI press release Dec 30, 2025</t>
        </is>
      </c>
      <c r="E23" s="41" t="inlineStr">
        <is>
          <t>CDI press release - New laws take effect January 1, 2026 (Dec 30, 2025)</t>
        </is>
      </c>
      <c r="F23" s="42" t="inlineStr">
        <is>
          <t>https://www.insurance.ca.gov/0400-news/0100-press-releases/2025/release079-2025.cfm</t>
        </is>
      </c>
      <c r="G23" s="43" t="n">
        <v>46295</v>
      </c>
      <c r="H23" s="41" t="inlineStr">
        <is>
          <t>California</t>
        </is>
      </c>
      <c r="I23" s="41" t="inlineStr">
        <is>
          <t>Regulator-published</t>
        </is>
      </c>
      <c r="J23" s="44" t="inlineStr">
        <is>
          <t>Primary source</t>
        </is>
      </c>
      <c r="K23" s="43" t="n">
        <v>46295</v>
      </c>
      <c r="L23" s="41" t="inlineStr">
        <is>
          <t>Zones covered are set by CDI; check the current list.</t>
        </is>
      </c>
    </row>
    <row r="24" ht="23.85" customHeight="1" s="29">
      <c r="A24" s="41" t="inlineStr">
        <is>
          <t>Rights</t>
        </is>
      </c>
      <c r="B24" s="41" t="inlineStr">
        <is>
          <t>Contents payout without inventory (SB 495)</t>
        </is>
      </c>
      <c r="C24" s="41" t="inlineStr">
        <is>
          <t>Wildfire total loss: 60% of contents limit, capped at $350,000, without a detailed list; at least 100 days for proof of loss after a declared emergency</t>
        </is>
      </c>
      <c r="D24" s="41" t="inlineStr">
        <is>
          <t>CDI press release Dec 30, 2025 (effective Jan 1, 2026)</t>
        </is>
      </c>
      <c r="E24" s="41" t="inlineStr">
        <is>
          <t>CDI press release - New laws take effect January 1, 2026 (Dec 30, 2025)</t>
        </is>
      </c>
      <c r="F24" s="42" t="inlineStr">
        <is>
          <t>https://www.insurance.ca.gov/0400-news/0100-press-releases/2025/release079-2025.cfm</t>
        </is>
      </c>
      <c r="G24" s="43" t="n">
        <v>46295</v>
      </c>
      <c r="H24" s="41" t="inlineStr">
        <is>
          <t>California</t>
        </is>
      </c>
      <c r="I24" s="41" t="inlineStr">
        <is>
          <t>Regulator-published</t>
        </is>
      </c>
      <c r="J24" s="44" t="inlineStr">
        <is>
          <t>Primary source</t>
        </is>
      </c>
      <c r="K24" s="43" t="n">
        <v>46295</v>
      </c>
      <c r="L24" s="41" t="n"/>
    </row>
    <row r="25" ht="35.05" customHeight="1" s="29">
      <c r="A25" s="41" t="inlineStr">
        <is>
          <t>New laws (2026)</t>
        </is>
      </c>
      <c r="B25" s="41" t="inlineStr">
        <is>
          <t>AB 1, AB 226, AB 888, SB 429</t>
        </is>
      </c>
      <c r="C25" s="41" t="inlineStr">
        <is>
          <t>AB 1: regular review of Safer from Wildfires. AB 226: FAIR Plan may use catastrophe bonds and credit lines if authorized. AB 888: grants for fire-safe roofs and Zone Zero. SB 429: grants for a public wildfire model</t>
        </is>
      </c>
      <c r="D25" s="41" t="inlineStr">
        <is>
          <t>CDI press release Dec 30, 2025 (effective Jan 1, 2026)</t>
        </is>
      </c>
      <c r="E25" s="41" t="inlineStr">
        <is>
          <t>CDI press release - New laws take effect January 1, 2026 (Dec 30, 2025)</t>
        </is>
      </c>
      <c r="F25" s="42" t="inlineStr">
        <is>
          <t>https://www.insurance.ca.gov/0400-news/0100-press-releases/2025/release079-2025.cfm</t>
        </is>
      </c>
      <c r="G25" s="43" t="n">
        <v>46295</v>
      </c>
      <c r="H25" s="41" t="inlineStr">
        <is>
          <t>California</t>
        </is>
      </c>
      <c r="I25" s="41" t="inlineStr">
        <is>
          <t>Regulator-published</t>
        </is>
      </c>
      <c r="J25" s="44" t="inlineStr">
        <is>
          <t>Primary source</t>
        </is>
      </c>
      <c r="K25" s="43" t="n">
        <v>46295</v>
      </c>
      <c r="L25" s="41" t="n"/>
    </row>
    <row r="26" ht="35.05" customHeight="1" s="29">
      <c r="A26" s="41" t="inlineStr">
        <is>
          <t>Earthquake</t>
        </is>
      </c>
      <c r="B26" s="41" t="inlineStr">
        <is>
          <t>Must insurers offer it?</t>
        </is>
      </c>
      <c r="C26" s="41" t="inlineStr">
        <is>
          <t>Yes. No residential property policy may be issued or renewed unless the insured is offered earthquake coverage; it may be written by the insurer, another insurer, or the CEA</t>
        </is>
      </c>
      <c r="D26" s="41" t="inlineStr">
        <is>
          <t>Ins. Code 10081; CDI Form 401</t>
        </is>
      </c>
      <c r="E26" s="41" t="inlineStr">
        <is>
          <t>CA Dept of Insurance - Earthquake Insurance</t>
        </is>
      </c>
      <c r="F26" s="42" t="inlineStr">
        <is>
          <t>https://www.insurance.ca.gov/01-consumers/105-type/95-guides/03-res/eq-ins.cfm</t>
        </is>
      </c>
      <c r="G26" s="43" t="n">
        <v>46295</v>
      </c>
      <c r="H26" s="41" t="inlineStr">
        <is>
          <t>California</t>
        </is>
      </c>
      <c r="I26" s="41" t="inlineStr">
        <is>
          <t>Regulator-published</t>
        </is>
      </c>
      <c r="J26" s="44" t="inlineStr">
        <is>
          <t>Primary source</t>
        </is>
      </c>
      <c r="K26" s="43" t="n">
        <v>46295</v>
      </c>
      <c r="L26" s="41" t="n"/>
    </row>
    <row r="27" ht="35.05" customHeight="1" s="29">
      <c r="A27" s="41" t="inlineStr">
        <is>
          <t>Earthquake</t>
        </is>
      </c>
      <c r="B27" s="41" t="inlineStr">
        <is>
          <t>Re-offer schedule</t>
        </is>
      </c>
      <c r="C27" s="41" t="inlineStr">
        <is>
          <t>If declined, the insurer must re-offer earthquake coverage every other year at continuation, renewal or reinstatement; the offer may be made before, at, or within 60 days after issuance or renewal</t>
        </is>
      </c>
      <c r="D27" s="41" t="inlineStr">
        <is>
          <t>Ins. Code 10083(a)-(b)</t>
        </is>
      </c>
      <c r="E27" s="41" t="inlineStr">
        <is>
          <t>CA Insurance Code section 10083 - Earthquake offer timing (Justia)</t>
        </is>
      </c>
      <c r="F27" s="42" t="inlineStr">
        <is>
          <t>https://law.justia.com/codes/california/code-ins/division-2/part-1/chapter-8-5/section-10083/</t>
        </is>
      </c>
      <c r="G27" s="43" t="n">
        <v>46295</v>
      </c>
      <c r="H27" s="41" t="inlineStr">
        <is>
          <t>California</t>
        </is>
      </c>
      <c r="I27" s="41" t="inlineStr">
        <is>
          <t>Statute / regulation text</t>
        </is>
      </c>
      <c r="J27" s="44" t="inlineStr">
        <is>
          <t>Primary source</t>
        </is>
      </c>
      <c r="K27" s="43" t="n">
        <v>46295</v>
      </c>
      <c r="L27" s="41" t="inlineStr">
        <is>
          <t>Confirms the every-other-year rule that earlier came only from agency sites.</t>
        </is>
      </c>
    </row>
    <row r="28" ht="23.85" customHeight="1" s="29">
      <c r="A28" s="41" t="inlineStr">
        <is>
          <t>Earthquake</t>
        </is>
      </c>
      <c r="B28" s="41" t="inlineStr">
        <is>
          <t>Fire after earthquake</t>
        </is>
      </c>
      <c r="C28" s="41" t="inlineStr">
        <is>
          <t>Homeowners and renters policies must cover fire damage caused by or following an earthquake</t>
        </is>
      </c>
      <c r="D28" s="41" t="inlineStr">
        <is>
          <t>CDI earthquake page</t>
        </is>
      </c>
      <c r="E28" s="41" t="inlineStr">
        <is>
          <t>CA Dept of Insurance - Earthquake Insurance</t>
        </is>
      </c>
      <c r="F28" s="42" t="inlineStr">
        <is>
          <t>https://www.insurance.ca.gov/01-consumers/105-type/95-guides/03-res/eq-ins.cfm</t>
        </is>
      </c>
      <c r="G28" s="43" t="n">
        <v>46295</v>
      </c>
      <c r="H28" s="41" t="inlineStr">
        <is>
          <t>California</t>
        </is>
      </c>
      <c r="I28" s="41" t="inlineStr">
        <is>
          <t>Regulator-published</t>
        </is>
      </c>
      <c r="J28" s="44" t="inlineStr">
        <is>
          <t>Primary source</t>
        </is>
      </c>
      <c r="K28" s="43" t="n">
        <v>46295</v>
      </c>
      <c r="L28" s="41" t="n"/>
    </row>
    <row r="29" ht="23.85" customHeight="1" s="29">
      <c r="A29" s="41" t="inlineStr">
        <is>
          <t>Earthquake</t>
        </is>
      </c>
      <c r="B29" s="41" t="inlineStr">
        <is>
          <t>What earthquake insurance does not cover</t>
        </is>
      </c>
      <c r="C29" s="41" t="inlineStr">
        <is>
          <t>Vehicles; flood, sewer/drain backup, tsunami</t>
        </is>
      </c>
      <c r="D29" s="41" t="inlineStr">
        <is>
          <t>CDI earthquake page</t>
        </is>
      </c>
      <c r="E29" s="41" t="inlineStr">
        <is>
          <t>CA Dept of Insurance - Earthquake Insurance</t>
        </is>
      </c>
      <c r="F29" s="42" t="inlineStr">
        <is>
          <t>https://www.insurance.ca.gov/01-consumers/105-type/95-guides/03-res/eq-ins.cfm</t>
        </is>
      </c>
      <c r="G29" s="43" t="n">
        <v>46295</v>
      </c>
      <c r="H29" s="41" t="inlineStr">
        <is>
          <t>California</t>
        </is>
      </c>
      <c r="I29" s="41" t="inlineStr">
        <is>
          <t>Regulator-published</t>
        </is>
      </c>
      <c r="J29" s="44" t="inlineStr">
        <is>
          <t>Primary source</t>
        </is>
      </c>
      <c r="K29" s="43" t="n">
        <v>46295</v>
      </c>
      <c r="L29" s="41" t="n"/>
    </row>
    <row r="30" ht="15" customHeight="1" s="29">
      <c r="A30" s="41" t="inlineStr">
        <is>
          <t>Earthquake</t>
        </is>
      </c>
      <c r="B30" s="41" t="inlineStr">
        <is>
          <t>Claim reporting</t>
        </is>
      </c>
      <c r="C30" s="41" t="inlineStr">
        <is>
          <t>Insurer can deny claims not reported within one year</t>
        </is>
      </c>
      <c r="D30" s="41" t="inlineStr">
        <is>
          <t>CDI earthquake brochure</t>
        </is>
      </c>
      <c r="E30" s="41" t="inlineStr">
        <is>
          <t>CA Dept of Insurance - Earthquake Insurance</t>
        </is>
      </c>
      <c r="F30" s="42" t="inlineStr">
        <is>
          <t>https://www.insurance.ca.gov/01-consumers/105-type/95-guides/03-res/eq-ins.cfm</t>
        </is>
      </c>
      <c r="G30" s="43" t="n">
        <v>46295</v>
      </c>
      <c r="H30" s="41" t="inlineStr">
        <is>
          <t>California</t>
        </is>
      </c>
      <c r="I30" s="41" t="inlineStr">
        <is>
          <t>Regulator-published</t>
        </is>
      </c>
      <c r="J30" s="44" t="inlineStr">
        <is>
          <t>Primary source</t>
        </is>
      </c>
      <c r="K30" s="43" t="n">
        <v>46295</v>
      </c>
      <c r="L30" s="41" t="inlineStr">
        <is>
          <t>From a truncated brochure snippet; confirm.</t>
        </is>
      </c>
    </row>
    <row r="31" ht="35.05" customHeight="1" s="29">
      <c r="A31" s="41" t="inlineStr">
        <is>
          <t>Earthquake</t>
        </is>
      </c>
      <c r="B31" s="41" t="inlineStr">
        <is>
          <t>CEA deductible options</t>
        </is>
      </c>
      <c r="C31" s="41" t="inlineStr">
        <is>
          <t>5%, 10%, 15%, 20%, 25% of dwelling coverage; homes over $1M dwelling limit or pre-1980 raised-foundation homes without verified retrofit only get 15%-25%</t>
        </is>
      </c>
      <c r="D31" s="41" t="inlineStr">
        <is>
          <t>CEA homeowners page</t>
        </is>
      </c>
      <c r="E31" s="41" t="inlineStr">
        <is>
          <t>California Earthquake Authority - Homeowners policies</t>
        </is>
      </c>
      <c r="F31" s="42" t="inlineStr">
        <is>
          <t>https://www.earthquakeauthority.com/california-earthquake-insurance-policies/homeowners</t>
        </is>
      </c>
      <c r="G31" s="43" t="n">
        <v>46295</v>
      </c>
      <c r="H31" s="41" t="inlineStr">
        <is>
          <t>California</t>
        </is>
      </c>
      <c r="I31" s="41" t="inlineStr">
        <is>
          <t>Regulator-published</t>
        </is>
      </c>
      <c r="J31" s="44" t="inlineStr">
        <is>
          <t>Primary source</t>
        </is>
      </c>
      <c r="K31" s="43" t="n">
        <v>46295</v>
      </c>
      <c r="L31" s="41" t="inlineStr">
        <is>
          <t>Premium and take-up figures remain secondary; see Coverage Details.</t>
        </is>
      </c>
    </row>
    <row r="32" ht="23.85" customHeight="1" s="29">
      <c r="A32" s="41" t="inlineStr">
        <is>
          <t>Earthquake</t>
        </is>
      </c>
      <c r="B32" s="41" t="inlineStr">
        <is>
          <t>CEA retrofit discount and loss of use</t>
        </is>
      </c>
      <c r="C32" s="41" t="inlineStr">
        <is>
          <t>Discount up to 25% for retrofit; loss of use never has a deductible</t>
        </is>
      </c>
      <c r="D32" s="41" t="inlineStr">
        <is>
          <t>CEA homeowners page</t>
        </is>
      </c>
      <c r="E32" s="41" t="inlineStr">
        <is>
          <t>California Earthquake Authority - Homeowners policies</t>
        </is>
      </c>
      <c r="F32" s="42" t="inlineStr">
        <is>
          <t>https://www.earthquakeauthority.com/california-earthquake-insurance-policies/homeowners</t>
        </is>
      </c>
      <c r="G32" s="43" t="n">
        <v>46295</v>
      </c>
      <c r="H32" s="41" t="inlineStr">
        <is>
          <t>California</t>
        </is>
      </c>
      <c r="I32" s="41" t="inlineStr">
        <is>
          <t>Regulator-published</t>
        </is>
      </c>
      <c r="J32" s="44" t="inlineStr">
        <is>
          <t>Primary source</t>
        </is>
      </c>
      <c r="K32" s="43" t="n">
        <v>46295</v>
      </c>
      <c r="L32" s="41" t="n"/>
    </row>
    <row r="33" ht="23.85" customHeight="1" s="29">
      <c r="A33" s="41" t="inlineStr">
        <is>
          <t>Flood</t>
        </is>
      </c>
      <c r="B33" s="41" t="inlineStr">
        <is>
          <t>Is flood covered?</t>
        </is>
      </c>
      <c r="C33" s="41" t="inlineStr">
        <is>
          <t>Generally excluded from homeowners and renters policies; NFIP (FEMA) offers it; CDI does not regulate the NFIP</t>
        </is>
      </c>
      <c r="D33" s="41" t="inlineStr">
        <is>
          <t>CDI Form 401; CDI flood page</t>
        </is>
      </c>
      <c r="E33" s="41" t="inlineStr">
        <is>
          <t>CA Dept of Insurance - Flood Insurance Resources</t>
        </is>
      </c>
      <c r="F33" s="42" t="inlineStr">
        <is>
          <t>https://www.insurance.ca.gov/01-consumers/140-catastrophes/FloodFacts.cfm</t>
        </is>
      </c>
      <c r="G33" s="43" t="n">
        <v>46295</v>
      </c>
      <c r="H33" s="41" t="inlineStr">
        <is>
          <t>California</t>
        </is>
      </c>
      <c r="I33" s="41" t="inlineStr">
        <is>
          <t>Regulator-published</t>
        </is>
      </c>
      <c r="J33" s="44" t="inlineStr">
        <is>
          <t>Primary source</t>
        </is>
      </c>
      <c r="K33" s="43" t="n">
        <v>46295</v>
      </c>
      <c r="L33" s="41" t="n"/>
    </row>
    <row r="34" ht="35.05" customHeight="1" s="29">
      <c r="A34" s="41" t="inlineStr">
        <is>
          <t>Flood</t>
        </is>
      </c>
      <c r="B34" s="41" t="inlineStr">
        <is>
          <t>NFIP maximums, single-family</t>
        </is>
      </c>
      <c r="C34" s="41" t="inlineStr">
        <is>
          <t>$250,000 structure; $100,000 contents; renters up to $100,000 contents</t>
        </is>
      </c>
      <c r="D34" s="41" t="inlineStr">
        <is>
          <t>CDI Form 401</t>
        </is>
      </c>
      <c r="E34" s="41" t="inlineStr">
        <is>
          <t>CA Dept of Insurance - Residential Insurance: Homeowners and Renters (Form 401, rev. Jan 2026)</t>
        </is>
      </c>
      <c r="F34" s="42" t="inlineStr">
        <is>
          <t>https://www.insurance.ca.gov/01-consumers/105-type/95-guides/03-res/res-ins-guide.cfm</t>
        </is>
      </c>
      <c r="G34" s="43" t="n">
        <v>46295</v>
      </c>
      <c r="H34" s="41" t="inlineStr">
        <is>
          <t>California</t>
        </is>
      </c>
      <c r="I34" s="41" t="inlineStr">
        <is>
          <t>Regulator-published</t>
        </is>
      </c>
      <c r="J34" s="44" t="inlineStr">
        <is>
          <t>Primary source</t>
        </is>
      </c>
      <c r="K34" s="43" t="n">
        <v>46295</v>
      </c>
      <c r="L34" s="41" t="inlineStr">
        <is>
          <t>Federal program authorization status must be checked live; see Coverage Details.</t>
        </is>
      </c>
    </row>
    <row r="35" ht="23.85" customHeight="1" s="29">
      <c r="A35" s="41" t="inlineStr">
        <is>
          <t>Flood</t>
        </is>
      </c>
      <c r="B35" s="41" t="inlineStr">
        <is>
          <t>FAIR Plan and storms</t>
        </is>
      </c>
      <c r="C35" s="41" t="inlineStr">
        <is>
          <t>FAIR Plan does not cover storm-related damage unless the owner buys a supplemental 'difference in conditions' (DIC) policy from another insurer</t>
        </is>
      </c>
      <c r="D35" s="41" t="inlineStr">
        <is>
          <t>CDI flood page</t>
        </is>
      </c>
      <c r="E35" s="41" t="inlineStr">
        <is>
          <t>CA Dept of Insurance - Flood Insurance Resources</t>
        </is>
      </c>
      <c r="F35" s="42" t="inlineStr">
        <is>
          <t>https://www.insurance.ca.gov/01-consumers/140-catastrophes/FloodFacts.cfm</t>
        </is>
      </c>
      <c r="G35" s="43" t="n">
        <v>46295</v>
      </c>
      <c r="H35" s="41" t="inlineStr">
        <is>
          <t>California</t>
        </is>
      </c>
      <c r="I35" s="41" t="inlineStr">
        <is>
          <t>Regulator-published</t>
        </is>
      </c>
      <c r="J35" s="44" t="inlineStr">
        <is>
          <t>Primary source</t>
        </is>
      </c>
      <c r="K35" s="43" t="n">
        <v>46295</v>
      </c>
      <c r="L35" s="41" t="n"/>
    </row>
    <row r="36" ht="35.05" customHeight="1" s="29">
      <c r="A36" s="41" t="inlineStr">
        <is>
          <t>FAIR Plan</t>
        </is>
      </c>
      <c r="B36" s="41" t="inlineStr">
        <is>
          <t>What it is</t>
        </is>
      </c>
      <c r="C36" s="41" t="inlineStr">
        <is>
          <t>Association of all licensed property insurers; insurer of last resort</t>
        </is>
      </c>
      <c r="D36" s="41" t="inlineStr">
        <is>
          <t>CDI Form 401; FAIR Plan site</t>
        </is>
      </c>
      <c r="E36" s="41" t="inlineStr">
        <is>
          <t>CA Dept of Insurance - Residential Insurance: Homeowners and Renters (Form 401, rev. Jan 2026)</t>
        </is>
      </c>
      <c r="F36" s="42" t="inlineStr">
        <is>
          <t>https://www.insurance.ca.gov/01-consumers/105-type/95-guides/03-res/res-ins-guide.cfm</t>
        </is>
      </c>
      <c r="G36" s="43" t="n">
        <v>46295</v>
      </c>
      <c r="H36" s="41" t="inlineStr">
        <is>
          <t>California</t>
        </is>
      </c>
      <c r="I36" s="41" t="inlineStr">
        <is>
          <t>Regulator-published</t>
        </is>
      </c>
      <c r="J36" s="44" t="inlineStr">
        <is>
          <t>Primary source</t>
        </is>
      </c>
      <c r="K36" s="43" t="n">
        <v>46295</v>
      </c>
      <c r="L36" s="41" t="n"/>
    </row>
    <row r="37" ht="35.05" customHeight="1" s="29">
      <c r="A37" s="41" t="inlineStr">
        <is>
          <t>FAIR Plan</t>
        </is>
      </c>
      <c r="B37" s="41" t="inlineStr">
        <is>
          <t>What it covers</t>
        </is>
      </c>
      <c r="C37" s="41" t="inlineStr">
        <is>
          <t>Standard fire policy for structure and contents; basic property policy with limits; no liability or other perils such as burglary</t>
        </is>
      </c>
      <c r="D37" s="41" t="inlineStr">
        <is>
          <t>CDI Form 401</t>
        </is>
      </c>
      <c r="E37" s="41" t="inlineStr">
        <is>
          <t>CA Dept of Insurance - Residential Insurance: Homeowners and Renters (Form 401, rev. Jan 2026)</t>
        </is>
      </c>
      <c r="F37" s="42" t="inlineStr">
        <is>
          <t>https://www.insurance.ca.gov/01-consumers/105-type/95-guides/03-res/res-ins-guide.cfm</t>
        </is>
      </c>
      <c r="G37" s="43" t="n">
        <v>46295</v>
      </c>
      <c r="H37" s="41" t="inlineStr">
        <is>
          <t>California</t>
        </is>
      </c>
      <c r="I37" s="41" t="inlineStr">
        <is>
          <t>Regulator-published</t>
        </is>
      </c>
      <c r="J37" s="44" t="inlineStr">
        <is>
          <t>Primary source</t>
        </is>
      </c>
      <c r="K37" s="43" t="n">
        <v>46295</v>
      </c>
      <c r="L37" s="41" t="inlineStr">
        <is>
          <t>CDI suggests a DIC or supplemental policy from a private insurer.</t>
        </is>
      </c>
    </row>
    <row r="38" ht="35.05" customHeight="1" s="29">
      <c r="A38" s="41" t="inlineStr">
        <is>
          <t>FAIR Plan</t>
        </is>
      </c>
      <c r="B38" s="41" t="inlineStr">
        <is>
          <t>Broker fees</t>
        </is>
      </c>
      <c r="C38" s="41" t="inlineStr">
        <is>
          <t>Broker may not charge a fee for a FAIR Plan submission</t>
        </is>
      </c>
      <c r="D38" s="41" t="inlineStr">
        <is>
          <t>CDI Form 401</t>
        </is>
      </c>
      <c r="E38" s="41" t="inlineStr">
        <is>
          <t>CA Dept of Insurance - Residential Insurance: Homeowners and Renters (Form 401, rev. Jan 2026)</t>
        </is>
      </c>
      <c r="F38" s="42" t="inlineStr">
        <is>
          <t>https://www.insurance.ca.gov/01-consumers/105-type/95-guides/03-res/res-ins-guide.cfm</t>
        </is>
      </c>
      <c r="G38" s="43" t="n">
        <v>46295</v>
      </c>
      <c r="H38" s="41" t="inlineStr">
        <is>
          <t>California</t>
        </is>
      </c>
      <c r="I38" s="41" t="inlineStr">
        <is>
          <t>Regulator-published</t>
        </is>
      </c>
      <c r="J38" s="44" t="inlineStr">
        <is>
          <t>Primary source</t>
        </is>
      </c>
      <c r="K38" s="43" t="n">
        <v>46295</v>
      </c>
      <c r="L38" s="41" t="n"/>
    </row>
    <row r="39" ht="23.85" customHeight="1" s="29">
      <c r="A39" s="41" t="inlineStr">
        <is>
          <t>FAIR Plan</t>
        </is>
      </c>
      <c r="B39" s="41" t="inlineStr">
        <is>
          <t>Dwelling limit</t>
        </is>
      </c>
      <c r="C39" s="41" t="inlineStr">
        <is>
          <t>$3 million per property</t>
        </is>
      </c>
      <c r="D39" s="41" t="inlineStr">
        <is>
          <t>CDI press release 2019 (effective Apr 1, 2020); Assembly Insurance Committee</t>
        </is>
      </c>
      <c r="E39" s="41" t="inlineStr">
        <is>
          <t>CDI press release 089-19 - FAIR Plan coverage options</t>
        </is>
      </c>
      <c r="F39" s="42" t="inlineStr">
        <is>
          <t>https://www.insurance.ca.gov/0400-news/0100-press-releases/2019/release089-19.cfm</t>
        </is>
      </c>
      <c r="G39" s="43" t="n">
        <v>46295</v>
      </c>
      <c r="H39" s="41" t="inlineStr">
        <is>
          <t>California</t>
        </is>
      </c>
      <c r="I39" s="41" t="inlineStr">
        <is>
          <t>Regulator-published</t>
        </is>
      </c>
      <c r="J39" s="44" t="inlineStr">
        <is>
          <t>Primary source</t>
        </is>
      </c>
      <c r="K39" s="43" t="n">
        <v>46295</v>
      </c>
      <c r="L39" s="41" t="inlineStr">
        <is>
          <t>Confirm current limit on the FAIR Plan site.</t>
        </is>
      </c>
    </row>
    <row r="40" ht="23.85" customHeight="1" s="29">
      <c r="A40" s="41" t="inlineStr">
        <is>
          <t>FAIR Plan</t>
        </is>
      </c>
      <c r="B40" s="41" t="inlineStr">
        <is>
          <t>2026 rate change</t>
        </is>
      </c>
      <c r="C40" s="41" t="inlineStr">
        <is>
          <t>CDI approved a 29.1% average dwelling increase (FAIR Plan asked for 35.8%), effective Oct 15, 2026 per news reports</t>
        </is>
      </c>
      <c r="D40" s="41" t="inlineStr">
        <is>
          <t>News reports, not the CDI decision</t>
        </is>
      </c>
      <c r="E40" s="41" t="inlineStr">
        <is>
          <t>KQED - FAIR Plan announces 29.1% rate hike (Aug 2026)</t>
        </is>
      </c>
      <c r="F40" s="42" t="inlineStr">
        <is>
          <t>https://www.kqed.org/news/12094860/california-fair-plan-announces-29-1-rate-hike-for-homeowners-this-fall</t>
        </is>
      </c>
      <c r="G40" s="43" t="n">
        <v>46295</v>
      </c>
      <c r="H40" s="41" t="inlineStr">
        <is>
          <t>California</t>
        </is>
      </c>
      <c r="I40" s="41" t="inlineStr">
        <is>
          <t>Reference data (secondary source)</t>
        </is>
      </c>
      <c r="J40" s="45" t="inlineStr">
        <is>
          <t>Secondary - unverified</t>
        </is>
      </c>
      <c r="K40" s="43" t="n">
        <v>46295</v>
      </c>
      <c r="L40" s="41" t="inlineStr">
        <is>
          <t>Replaces the earlier 'sought 35.8%' note. Verify in the CDI order.</t>
        </is>
      </c>
    </row>
    <row r="41" ht="23.85" customHeight="1" s="29">
      <c r="A41" s="41" t="inlineStr">
        <is>
          <t>FAIR Plan</t>
        </is>
      </c>
      <c r="B41" s="41" t="inlineStr">
        <is>
          <t>Size</t>
        </is>
      </c>
      <c r="C41" s="41" t="inlineStr">
        <is>
          <t>Exposure $768 billion in June 2026 (KQED); policies 668,600 at end-2025 (InsuranceNewsNet)</t>
        </is>
      </c>
      <c r="D41" s="41" t="inlineStr">
        <is>
          <t>News reports</t>
        </is>
      </c>
      <c r="E41" s="41" t="inlineStr">
        <is>
          <t>InsuranceNewsNet - FAIR Plan rates going up 29.1% (May 2026)</t>
        </is>
      </c>
      <c r="F41" s="42" t="inlineStr">
        <is>
          <t>https://insurancenewsnet.com/oarticle/california-fair-plan-rates-going-up-29-1-in-late-2026</t>
        </is>
      </c>
      <c r="G41" s="43" t="n">
        <v>46295</v>
      </c>
      <c r="H41" s="41" t="inlineStr">
        <is>
          <t>California</t>
        </is>
      </c>
      <c r="I41" s="41" t="inlineStr">
        <is>
          <t>Reference data (secondary source)</t>
        </is>
      </c>
      <c r="J41" s="45" t="inlineStr">
        <is>
          <t>Secondary - unverified</t>
        </is>
      </c>
      <c r="K41" s="43" t="n">
        <v>46295</v>
      </c>
      <c r="L41" s="41" t="inlineStr">
        <is>
          <t>Earlier note: about 697,000 policies in June (CalMatters). Different dates, not a true conflict; a third source's '550,000+' looks stale.</t>
        </is>
      </c>
    </row>
    <row r="42" ht="46.25" customHeight="1" s="29">
      <c r="A42" s="41" t="inlineStr">
        <is>
          <t>Availability</t>
        </is>
      </c>
      <c r="B42" s="41" t="inlineStr">
        <is>
          <t>Sustainable Insurance Strategy</t>
        </is>
      </c>
      <c r="C42" s="41" t="inlineStr">
        <is>
          <t>Insurers that use catastrophe models or reinsurance costs in rates must commit to write at least 85% of their statewide market share in wildfire-distressed areas; larger insurers within two years of a rate filing being adopted</t>
        </is>
      </c>
      <c r="D42" s="41" t="inlineStr">
        <is>
          <t>CDI SIS page; CDI press release 023-2024</t>
        </is>
      </c>
      <c r="E42" s="41" t="inlineStr">
        <is>
          <t>CA Dept of Insurance - Sustainable Insurance Strategy updates</t>
        </is>
      </c>
      <c r="F42" s="42" t="inlineStr">
        <is>
          <t>https://www.insurance.ca.gov/01-consumers/180-climate-change/SustainableInsuranceStrategy.cfm</t>
        </is>
      </c>
      <c r="G42" s="43" t="n">
        <v>46295</v>
      </c>
      <c r="H42" s="41" t="inlineStr">
        <is>
          <t>California</t>
        </is>
      </c>
      <c r="I42" s="41" t="inlineStr">
        <is>
          <t>Regulator-published</t>
        </is>
      </c>
      <c r="J42" s="44" t="inlineStr">
        <is>
          <t>Primary source</t>
        </is>
      </c>
      <c r="K42" s="43" t="n">
        <v>46295</v>
      </c>
      <c r="L42" s="41" t="inlineStr">
        <is>
          <t>CDI monitors this through rate filings. Actual new policies written are not published by CDI in what I found.</t>
        </is>
      </c>
    </row>
    <row r="43" ht="35.05" customHeight="1" s="29">
      <c r="A43" s="41" t="inlineStr">
        <is>
          <t>Availability</t>
        </is>
      </c>
      <c r="B43" s="41" t="inlineStr">
        <is>
          <t>Home Insurance Finder tool</t>
        </is>
      </c>
      <c r="C43" s="41" t="inlineStr">
        <is>
          <t>CDI tool to identify insurers writing in high-risk regions</t>
        </is>
      </c>
      <c r="D43" s="41" t="inlineStr">
        <is>
          <t>CDI Form 401</t>
        </is>
      </c>
      <c r="E43" s="41" t="inlineStr">
        <is>
          <t>CA Dept of Insurance - Residential Insurance: Homeowners and Renters (Form 401, rev. Jan 2026)</t>
        </is>
      </c>
      <c r="F43" s="42" t="inlineStr">
        <is>
          <t>https://www.insurance.ca.gov/01-consumers/105-type/95-guides/03-res/res-ins-guide.cfm</t>
        </is>
      </c>
      <c r="G43" s="43" t="n">
        <v>46295</v>
      </c>
      <c r="H43" s="41" t="inlineStr">
        <is>
          <t>California</t>
        </is>
      </c>
      <c r="I43" s="41" t="inlineStr">
        <is>
          <t>Regulator-published</t>
        </is>
      </c>
      <c r="J43" s="44" t="inlineStr">
        <is>
          <t>Primary source</t>
        </is>
      </c>
      <c r="K43" s="43" t="n">
        <v>46295</v>
      </c>
      <c r="L43" s="41" t="inlineStr">
        <is>
          <t>Possible data source to link to from your site; check terms.</t>
        </is>
      </c>
    </row>
    <row r="44" ht="35.05" customHeight="1" s="29">
      <c r="A44" s="41" t="inlineStr">
        <is>
          <t>Availability</t>
        </is>
      </c>
      <c r="B44" s="41" t="inlineStr">
        <is>
          <t>Surplus lines</t>
        </is>
      </c>
      <c r="C44" s="41" t="inlineStr">
        <is>
          <t>Insurers in this market are not backed by the California Insurance Guarantee Association</t>
        </is>
      </c>
      <c r="D44" s="41" t="inlineStr">
        <is>
          <t>CDI Form 401</t>
        </is>
      </c>
      <c r="E44" s="41" t="inlineStr">
        <is>
          <t>CA Dept of Insurance - Residential Insurance: Homeowners and Renters (Form 401, rev. Jan 2026)</t>
        </is>
      </c>
      <c r="F44" s="42" t="inlineStr">
        <is>
          <t>https://www.insurance.ca.gov/01-consumers/105-type/95-guides/03-res/res-ins-guide.cfm</t>
        </is>
      </c>
      <c r="G44" s="43" t="n">
        <v>46295</v>
      </c>
      <c r="H44" s="41" t="inlineStr">
        <is>
          <t>California</t>
        </is>
      </c>
      <c r="I44" s="41" t="inlineStr">
        <is>
          <t>Regulator-published</t>
        </is>
      </c>
      <c r="J44" s="44" t="inlineStr">
        <is>
          <t>Primary source</t>
        </is>
      </c>
      <c r="K44" s="43" t="n">
        <v>46295</v>
      </c>
      <c r="L44" s="41" t="n"/>
    </row>
    <row r="45" ht="35.05" customHeight="1" s="29">
      <c r="A45" s="41" t="inlineStr">
        <is>
          <t>Brokers</t>
        </is>
      </c>
      <c r="B45" s="41" t="inlineStr">
        <is>
          <t>Broker fee rules</t>
        </is>
      </c>
      <c r="C45" s="41" t="inlineStr">
        <is>
          <t>Advance consent after disclosure, signed Broker Fee Agreement, broker not appointed by the insurer, broker bond on file, fee disclosed at initial quote</t>
        </is>
      </c>
      <c r="D45" s="41" t="inlineStr">
        <is>
          <t>CDI Form 401</t>
        </is>
      </c>
      <c r="E45" s="41" t="inlineStr">
        <is>
          <t>CA Dept of Insurance - Residential Insurance: Homeowners and Renters (Form 401, rev. Jan 2026)</t>
        </is>
      </c>
      <c r="F45" s="42" t="inlineStr">
        <is>
          <t>https://www.insurance.ca.gov/01-consumers/105-type/95-guides/03-res/res-ins-guide.cfm</t>
        </is>
      </c>
      <c r="G45" s="43" t="n">
        <v>46295</v>
      </c>
      <c r="H45" s="41" t="inlineStr">
        <is>
          <t>California</t>
        </is>
      </c>
      <c r="I45" s="41" t="inlineStr">
        <is>
          <t>Regulator-published</t>
        </is>
      </c>
      <c r="J45" s="44" t="inlineStr">
        <is>
          <t>Primary source</t>
        </is>
      </c>
      <c r="K45" s="43" t="n">
        <v>46295</v>
      </c>
      <c r="L45" s="41" t="inlineStr">
        <is>
          <t>Fees are not set by law and may be negotiable.</t>
        </is>
      </c>
    </row>
  </sheetData>
  <autoFilter ref="A1:L45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www.insurance.ca.gov/01-consumers/105-type/95-guides/upload/Homeowners-Insurance-Updated-121924.pdf" r:id="rId1"/>
    <hyperlink xmlns:r="http://schemas.openxmlformats.org/officeDocument/2006/relationships" ref="F3" display="https://www.insurance.ca.gov/01-consumers/105-type/95-guides/03-res/res-ins-guide.cfm" r:id="rId2"/>
    <hyperlink xmlns:r="http://schemas.openxmlformats.org/officeDocument/2006/relationships" ref="F4" display="https://www.insurance.ca.gov/01-consumers/105-type/95-guides/03-res/res-ins-guide.cfm" r:id="rId3"/>
    <hyperlink xmlns:r="http://schemas.openxmlformats.org/officeDocument/2006/relationships" ref="F5" display="https://www.insurance.ca.gov/01-consumers/105-type/95-guides/03-res/res-ins-guide.cfm" r:id="rId4"/>
    <hyperlink xmlns:r="http://schemas.openxmlformats.org/officeDocument/2006/relationships" ref="F6" display="https://www.insurance.ca.gov/01-consumers/105-type/95-guides/03-res/res-ins-guide.cfm" r:id="rId5"/>
    <hyperlink xmlns:r="http://schemas.openxmlformats.org/officeDocument/2006/relationships" ref="F7" display="https://www.insurance.ca.gov/01-consumers/105-type/95-guides/03-res/res-ins-guide.cfm" r:id="rId6"/>
    <hyperlink xmlns:r="http://schemas.openxmlformats.org/officeDocument/2006/relationships" ref="F8" display="https://www.insurance.ca.gov/01-consumers/105-type/95-guides/03-res/res-ins-guide.cfm" r:id="rId7"/>
    <hyperlink xmlns:r="http://schemas.openxmlformats.org/officeDocument/2006/relationships" ref="F9" display="https://www.insurance.ca.gov/01-consumers/105-type/95-guides/03-res/res-ins-guide.cfm" r:id="rId8"/>
    <hyperlink xmlns:r="http://schemas.openxmlformats.org/officeDocument/2006/relationships" ref="F10" display="https://www.insurance.ca.gov/01-consumers/105-type/95-guides/03-res/res-ins-guide.cfm" r:id="rId9"/>
    <hyperlink xmlns:r="http://schemas.openxmlformats.org/officeDocument/2006/relationships" ref="F11" display="https://www.insurance.ca.gov/01-consumers/105-type/95-guides/03-res/res-ins-guide.cfm" r:id="rId10"/>
    <hyperlink xmlns:r="http://schemas.openxmlformats.org/officeDocument/2006/relationships" ref="F12" display="https://www.insurance.ca.gov/01-consumers/105-type/95-guides/03-res/res-ins-guide.cfm" r:id="rId11"/>
    <hyperlink xmlns:r="http://schemas.openxmlformats.org/officeDocument/2006/relationships" ref="F13" display="https://www.insurance.ca.gov/01-consumers/105-type/95-guides/03-res/res-ins-guide.cfm" r:id="rId12"/>
    <hyperlink xmlns:r="http://schemas.openxmlformats.org/officeDocument/2006/relationships" ref="F14" display="https://www.insurance.ca.gov/01-consumers/105-type/95-guides/03-res/res-ins-guide.cfm" r:id="rId13"/>
    <hyperlink xmlns:r="http://schemas.openxmlformats.org/officeDocument/2006/relationships" ref="F15" display="https://www.insurance.ca.gov/01-consumers/200-wrr/Safer-from-Wildfires.cfm" r:id="rId14"/>
    <hyperlink xmlns:r="http://schemas.openxmlformats.org/officeDocument/2006/relationships" ref="F16" display="https://media.rff.org/documents/WP_25-30.pdf" r:id="rId15"/>
    <hyperlink xmlns:r="http://schemas.openxmlformats.org/officeDocument/2006/relationships" ref="F17" display="https://www.insurance.ca.gov/01-consumers/105-type/95-guides/03-res/res-ins-guide.cfm" r:id="rId16"/>
    <hyperlink xmlns:r="http://schemas.openxmlformats.org/officeDocument/2006/relationships" ref="F18" display="https://www.insurance.ca.gov/01-consumers/105-type/95-guides/03-res/res-ins-guide.cfm" r:id="rId17"/>
    <hyperlink xmlns:r="http://schemas.openxmlformats.org/officeDocument/2006/relationships" ref="F19" display="https://www.insurance.ca.gov/01-consumers/105-type/95-guides/03-res/res-ins-guide.cfm" r:id="rId18"/>
    <hyperlink xmlns:r="http://schemas.openxmlformats.org/officeDocument/2006/relationships" ref="F20" display="https://www.insurance.ca.gov/01-consumers/105-type/95-guides/03-res/res-ins-guide.cfm" r:id="rId19"/>
    <hyperlink xmlns:r="http://schemas.openxmlformats.org/officeDocument/2006/relationships" ref="F21" display="https://www.insurance.ca.gov/01-consumers/105-type/95-guides/03-res/res-ins-guide.cfm" r:id="rId20"/>
    <hyperlink xmlns:r="http://schemas.openxmlformats.org/officeDocument/2006/relationships" ref="F22" display="https://www.insurance.ca.gov/01-consumers/105-type/95-guides/03-res/res-ins-guide.cfm" r:id="rId21"/>
    <hyperlink xmlns:r="http://schemas.openxmlformats.org/officeDocument/2006/relationships" ref="F23" display="https://www.insurance.ca.gov/0400-news/0100-press-releases/2025/release079-2025.cfm" r:id="rId22"/>
    <hyperlink xmlns:r="http://schemas.openxmlformats.org/officeDocument/2006/relationships" ref="F24" display="https://www.insurance.ca.gov/0400-news/0100-press-releases/2025/release079-2025.cfm" r:id="rId23"/>
    <hyperlink xmlns:r="http://schemas.openxmlformats.org/officeDocument/2006/relationships" ref="F25" display="https://www.insurance.ca.gov/0400-news/0100-press-releases/2025/release079-2025.cfm" r:id="rId24"/>
    <hyperlink xmlns:r="http://schemas.openxmlformats.org/officeDocument/2006/relationships" ref="F26" display="https://www.insurance.ca.gov/01-consumers/105-type/95-guides/03-res/eq-ins.cfm" r:id="rId25"/>
    <hyperlink xmlns:r="http://schemas.openxmlformats.org/officeDocument/2006/relationships" ref="F27" display="https://law.justia.com/codes/california/code-ins/division-2/part-1/chapter-8-5/section-10083/" r:id="rId26"/>
    <hyperlink xmlns:r="http://schemas.openxmlformats.org/officeDocument/2006/relationships" ref="F28" display="https://www.insurance.ca.gov/01-consumers/105-type/95-guides/03-res/eq-ins.cfm" r:id="rId27"/>
    <hyperlink xmlns:r="http://schemas.openxmlformats.org/officeDocument/2006/relationships" ref="F29" display="https://www.insurance.ca.gov/01-consumers/105-type/95-guides/03-res/eq-ins.cfm" r:id="rId28"/>
    <hyperlink xmlns:r="http://schemas.openxmlformats.org/officeDocument/2006/relationships" ref="F30" display="https://www.insurance.ca.gov/01-consumers/105-type/95-guides/03-res/eq-ins.cfm" r:id="rId29"/>
    <hyperlink xmlns:r="http://schemas.openxmlformats.org/officeDocument/2006/relationships" ref="F31" display="https://www.earthquakeauthority.com/california-earthquake-insurance-policies/homeowners" r:id="rId30"/>
    <hyperlink xmlns:r="http://schemas.openxmlformats.org/officeDocument/2006/relationships" ref="F32" display="https://www.earthquakeauthority.com/california-earthquake-insurance-policies/homeowners" r:id="rId31"/>
    <hyperlink xmlns:r="http://schemas.openxmlformats.org/officeDocument/2006/relationships" ref="F33" display="https://www.insurance.ca.gov/01-consumers/140-catastrophes/FloodFacts.cfm" r:id="rId32"/>
    <hyperlink xmlns:r="http://schemas.openxmlformats.org/officeDocument/2006/relationships" ref="F34" display="https://www.insurance.ca.gov/01-consumers/105-type/95-guides/03-res/res-ins-guide.cfm" r:id="rId33"/>
    <hyperlink xmlns:r="http://schemas.openxmlformats.org/officeDocument/2006/relationships" ref="F35" display="https://www.insurance.ca.gov/01-consumers/140-catastrophes/FloodFacts.cfm" r:id="rId34"/>
    <hyperlink xmlns:r="http://schemas.openxmlformats.org/officeDocument/2006/relationships" ref="F36" display="https://www.insurance.ca.gov/01-consumers/105-type/95-guides/03-res/res-ins-guide.cfm" r:id="rId35"/>
    <hyperlink xmlns:r="http://schemas.openxmlformats.org/officeDocument/2006/relationships" ref="F37" display="https://www.insurance.ca.gov/01-consumers/105-type/95-guides/03-res/res-ins-guide.cfm" r:id="rId36"/>
    <hyperlink xmlns:r="http://schemas.openxmlformats.org/officeDocument/2006/relationships" ref="F38" display="https://www.insurance.ca.gov/01-consumers/105-type/95-guides/03-res/res-ins-guide.cfm" r:id="rId37"/>
    <hyperlink xmlns:r="http://schemas.openxmlformats.org/officeDocument/2006/relationships" ref="F39" display="https://www.insurance.ca.gov/0400-news/0100-press-releases/2019/release089-19.cfm" r:id="rId38"/>
    <hyperlink xmlns:r="http://schemas.openxmlformats.org/officeDocument/2006/relationships" ref="F40" display="https://www.kqed.org/news/12094860/california-fair-plan-announces-29-1-rate-hike-for-homeowners-this-fall" r:id="rId39"/>
    <hyperlink xmlns:r="http://schemas.openxmlformats.org/officeDocument/2006/relationships" ref="F41" display="https://insurancenewsnet.com/oarticle/california-fair-plan-rates-going-up-29-1-in-late-2026" r:id="rId40"/>
    <hyperlink xmlns:r="http://schemas.openxmlformats.org/officeDocument/2006/relationships" ref="F42" display="https://www.insurance.ca.gov/01-consumers/180-climate-change/SustainableInsuranceStrategy.cfm" r:id="rId41"/>
    <hyperlink xmlns:r="http://schemas.openxmlformats.org/officeDocument/2006/relationships" ref="F43" display="https://www.insurance.ca.gov/01-consumers/105-type/95-guides/03-res/res-ins-guide.cfm" r:id="rId42"/>
    <hyperlink xmlns:r="http://schemas.openxmlformats.org/officeDocument/2006/relationships" ref="F44" display="https://www.insurance.ca.gov/01-consumers/105-type/95-guides/03-res/res-ins-guide.cfm" r:id="rId43"/>
    <hyperlink xmlns:r="http://schemas.openxmlformats.org/officeDocument/2006/relationships" ref="F45" display="https://www.insurance.ca.gov/01-consumers/105-type/95-guides/03-res/res-ins-guide.cfm" r:id="rId4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34" customWidth="1" style="28" min="2" max="2"/>
    <col width="60" customWidth="1" style="28" min="3" max="3"/>
    <col width="34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0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Minimum liability</t>
        </is>
      </c>
      <c r="B2" s="41" t="inlineStr">
        <is>
          <t>Bodily injury and property damage</t>
        </is>
      </c>
      <c r="C2" s="41" t="inlineStr">
        <is>
          <t>30/60/25: $30,000 per person, $60,000 per accident, $25,000 property damage</t>
        </is>
      </c>
      <c r="D2" s="41" t="inlineStr">
        <is>
          <t>TDI guide (Transportation Code 601.072 per secondary sources)</t>
        </is>
      </c>
      <c r="E2" s="41" t="inlineStr">
        <is>
          <t>Texas Dept of Insurance - Auto insurance guide (CB020)</t>
        </is>
      </c>
      <c r="F2" s="42" t="inlineStr">
        <is>
          <t>https://www.tdi.texas.gov/pubs/consumer/cb020.html</t>
        </is>
      </c>
      <c r="G2" s="43" t="n">
        <v>46295</v>
      </c>
      <c r="H2" s="41" t="inlineStr">
        <is>
          <t>Texas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inlineStr">
        <is>
          <t>TDI: collision and comprehensive are required only by lenders.</t>
        </is>
      </c>
    </row>
    <row r="3" ht="23.85" customHeight="1" s="29">
      <c r="A3" s="41" t="inlineStr">
        <is>
          <t>Other coverages</t>
        </is>
      </c>
      <c r="B3" s="41" t="inlineStr">
        <is>
          <t>Personal injury protection (PIP)</t>
        </is>
      </c>
      <c r="C3" s="41" t="inlineStr">
        <is>
          <t>Included on auto policies; the insured must reject it in writing</t>
        </is>
      </c>
      <c r="D3" s="41" t="inlineStr">
        <is>
          <t>TDI guide</t>
        </is>
      </c>
      <c r="E3" s="41" t="inlineStr">
        <is>
          <t>Texas Dept of Insurance - Auto insurance guide (CB020)</t>
        </is>
      </c>
      <c r="F3" s="42" t="inlineStr">
        <is>
          <t>https://www.tdi.texas.gov/pubs/consumer/cb020.html</t>
        </is>
      </c>
      <c r="G3" s="43" t="n">
        <v>46295</v>
      </c>
      <c r="H3" s="41" t="inlineStr">
        <is>
          <t>Texas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inlineStr">
        <is>
          <t>PIP dollar amount not stated by TDI.</t>
        </is>
      </c>
    </row>
    <row r="4" ht="23.85" customHeight="1" s="29">
      <c r="A4" s="41" t="inlineStr">
        <is>
          <t>Other coverages</t>
        </is>
      </c>
      <c r="B4" s="41" t="inlineStr">
        <is>
          <t>PIP amount</t>
        </is>
      </c>
      <c r="C4" s="41" t="inlineStr">
        <is>
          <t>Insurers must offer $2,500</t>
        </is>
      </c>
      <c r="D4" s="41" t="inlineStr">
        <is>
          <t>Law-firm blog</t>
        </is>
      </c>
      <c r="E4" s="41" t="inlineStr">
        <is>
          <t>Ashmore Law Firm - Car insurance: do you have enough?</t>
        </is>
      </c>
      <c r="F4" s="42" t="inlineStr">
        <is>
          <t>https://www.ashmorelaw.com/blog/car-insurance-do-you-have-enough-.cfm</t>
        </is>
      </c>
      <c r="G4" s="43" t="n">
        <v>46295</v>
      </c>
      <c r="H4" s="41" t="inlineStr">
        <is>
          <t>Texas</t>
        </is>
      </c>
      <c r="I4" s="41" t="inlineStr">
        <is>
          <t>Reference data (secondary source)</t>
        </is>
      </c>
      <c r="J4" s="45" t="inlineStr">
        <is>
          <t>Secondary - unverified</t>
        </is>
      </c>
      <c r="K4" s="43" t="n">
        <v>46295</v>
      </c>
      <c r="L4" s="41" t="inlineStr">
        <is>
          <t>Confirm in Insurance Code chapter 1952.</t>
        </is>
      </c>
    </row>
    <row r="5" ht="23.85" customHeight="1" s="29">
      <c r="A5" s="41" t="inlineStr">
        <is>
          <t>Other coverages</t>
        </is>
      </c>
      <c r="B5" s="41" t="inlineStr">
        <is>
          <t>Uninsured/underinsured motorist</t>
        </is>
      </c>
      <c r="C5" s="41" t="inlineStr">
        <is>
          <t>Insurers must offer it; rejection must be in writing</t>
        </is>
      </c>
      <c r="D5" s="41" t="inlineStr">
        <is>
          <t>TDI guide</t>
        </is>
      </c>
      <c r="E5" s="41" t="inlineStr">
        <is>
          <t>Texas Dept of Insurance - Auto insurance guide (CB020)</t>
        </is>
      </c>
      <c r="F5" s="42" t="inlineStr">
        <is>
          <t>https://www.tdi.texas.gov/pubs/consumer/cb020.html</t>
        </is>
      </c>
      <c r="G5" s="43" t="n">
        <v>46295</v>
      </c>
      <c r="H5" s="41" t="inlineStr">
        <is>
          <t>Texas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n"/>
    </row>
    <row r="6" ht="23.85" customHeight="1" s="29">
      <c r="A6" s="41" t="inlineStr">
        <is>
          <t>Other coverages</t>
        </is>
      </c>
      <c r="B6" s="41" t="inlineStr">
        <is>
          <t>Medical payments</t>
        </is>
      </c>
      <c r="C6" s="41" t="inlineStr">
        <is>
          <t>Optional; pays medical bills for you and passengers</t>
        </is>
      </c>
      <c r="D6" s="41" t="inlineStr">
        <is>
          <t>TDI guide</t>
        </is>
      </c>
      <c r="E6" s="41" t="inlineStr">
        <is>
          <t>Texas Dept of Insurance - Auto insurance guide (CB020)</t>
        </is>
      </c>
      <c r="F6" s="42" t="inlineStr">
        <is>
          <t>https://www.tdi.texas.gov/pubs/consumer/cb020.html</t>
        </is>
      </c>
      <c r="G6" s="43" t="n">
        <v>46295</v>
      </c>
      <c r="H6" s="41" t="inlineStr">
        <is>
          <t>Texas</t>
        </is>
      </c>
      <c r="I6" s="41" t="inlineStr">
        <is>
          <t>Regulator-published</t>
        </is>
      </c>
      <c r="J6" s="44" t="inlineStr">
        <is>
          <t>Primary source</t>
        </is>
      </c>
      <c r="K6" s="43" t="n">
        <v>46295</v>
      </c>
      <c r="L6" s="41" t="n"/>
    </row>
    <row r="7" ht="23.85" customHeight="1" s="29">
      <c r="A7" s="41" t="inlineStr">
        <is>
          <t>Rates</t>
        </is>
      </c>
      <c r="B7" s="41" t="inlineStr">
        <is>
          <t>Rate approval</t>
        </is>
      </c>
      <c r="C7" s="41" t="inlineStr">
        <is>
          <t>No prior approval; TDI can order refunds if rates are too high; rates must be fair, reasonable and adequate</t>
        </is>
      </c>
      <c r="D7" s="41" t="inlineStr">
        <is>
          <t>TDI guide</t>
        </is>
      </c>
      <c r="E7" s="41" t="inlineStr">
        <is>
          <t>Texas Dept of Insurance - Auto insurance guide (CB020)</t>
        </is>
      </c>
      <c r="F7" s="42" t="inlineStr">
        <is>
          <t>https://www.tdi.texas.gov/pubs/consumer/cb020.html</t>
        </is>
      </c>
      <c r="G7" s="43" t="n">
        <v>46295</v>
      </c>
      <c r="H7" s="41" t="inlineStr">
        <is>
          <t>Texas</t>
        </is>
      </c>
      <c r="I7" s="41" t="inlineStr">
        <is>
          <t>Regulator-published</t>
        </is>
      </c>
      <c r="J7" s="44" t="inlineStr">
        <is>
          <t>Primary source</t>
        </is>
      </c>
      <c r="K7" s="43" t="n">
        <v>46295</v>
      </c>
      <c r="L7" s="41" t="n"/>
    </row>
    <row r="8" ht="23.85" customHeight="1" s="29">
      <c r="A8" s="41" t="inlineStr">
        <is>
          <t>Rating</t>
        </is>
      </c>
      <c r="B8" s="41" t="inlineStr">
        <is>
          <t>Prohibited factors</t>
        </is>
      </c>
      <c r="C8" s="41" t="inlineStr">
        <is>
          <t>Race, color, religion, national origin may not be used to deny or charge more</t>
        </is>
      </c>
      <c r="D8" s="41" t="inlineStr">
        <is>
          <t>TDI guide</t>
        </is>
      </c>
      <c r="E8" s="41" t="inlineStr">
        <is>
          <t>Texas Dept of Insurance - Auto insurance guide (CB020)</t>
        </is>
      </c>
      <c r="F8" s="42" t="inlineStr">
        <is>
          <t>https://www.tdi.texas.gov/pubs/consumer/cb020.html</t>
        </is>
      </c>
      <c r="G8" s="43" t="n">
        <v>46295</v>
      </c>
      <c r="H8" s="41" t="inlineStr">
        <is>
          <t>Texas</t>
        </is>
      </c>
      <c r="I8" s="41" t="inlineStr">
        <is>
          <t>Regulator-published</t>
        </is>
      </c>
      <c r="J8" s="44" t="inlineStr">
        <is>
          <t>Primary source</t>
        </is>
      </c>
      <c r="K8" s="43" t="n">
        <v>46295</v>
      </c>
      <c r="L8" s="41" t="n"/>
    </row>
    <row r="9" ht="23.85" customHeight="1" s="29">
      <c r="A9" s="41" t="inlineStr">
        <is>
          <t>Rating</t>
        </is>
      </c>
      <c r="B9" s="41" t="inlineStr">
        <is>
          <t>Age, gender, marital status, location, disability</t>
        </is>
      </c>
      <c r="C9" s="41" t="inlineStr">
        <is>
          <t>Allowed only if the company can show a greater risk of loss</t>
        </is>
      </c>
      <c r="D9" s="41" t="inlineStr">
        <is>
          <t>TDI guide</t>
        </is>
      </c>
      <c r="E9" s="41" t="inlineStr">
        <is>
          <t>Texas Dept of Insurance - Auto insurance guide (CB020)</t>
        </is>
      </c>
      <c r="F9" s="42" t="inlineStr">
        <is>
          <t>https://www.tdi.texas.gov/pubs/consumer/cb020.html</t>
        </is>
      </c>
      <c r="G9" s="43" t="n">
        <v>46295</v>
      </c>
      <c r="H9" s="41" t="inlineStr">
        <is>
          <t>Texas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n"/>
    </row>
    <row r="10" ht="23.85" customHeight="1" s="29">
      <c r="A10" s="41" t="inlineStr">
        <is>
          <t>Rating</t>
        </is>
      </c>
      <c r="B10" s="41" t="inlineStr">
        <is>
          <t>Credit score</t>
        </is>
      </c>
      <c r="C10" s="41" t="inlineStr">
        <is>
          <t>May be used, but not as the only reason to turn you down or charge more; HelpInsure.com shows which companies use it</t>
        </is>
      </c>
      <c r="D10" s="41" t="inlineStr">
        <is>
          <t>TDI guide</t>
        </is>
      </c>
      <c r="E10" s="41" t="inlineStr">
        <is>
          <t>Texas Dept of Insurance - Auto insurance guide (CB020)</t>
        </is>
      </c>
      <c r="F10" s="42" t="inlineStr">
        <is>
          <t>https://www.tdi.texas.gov/pubs/consumer/cb020.html</t>
        </is>
      </c>
      <c r="G10" s="43" t="n">
        <v>46295</v>
      </c>
      <c r="H10" s="41" t="inlineStr">
        <is>
          <t>Texas</t>
        </is>
      </c>
      <c r="I10" s="41" t="inlineStr">
        <is>
          <t>Regulator-published</t>
        </is>
      </c>
      <c r="J10" s="44" t="inlineStr">
        <is>
          <t>Primary source</t>
        </is>
      </c>
      <c r="K10" s="43" t="n">
        <v>46295</v>
      </c>
      <c r="L10" s="41" t="n"/>
    </row>
    <row r="11" ht="23.85" customHeight="1" s="29">
      <c r="A11" s="41" t="inlineStr">
        <is>
          <t>Rating</t>
        </is>
      </c>
      <c r="B11" s="41" t="inlineStr">
        <is>
          <t>Other factors TDI names</t>
        </is>
      </c>
      <c r="C11" s="41" t="inlineStr">
        <is>
          <t>Driving record and claims history (CLUE), where the car is kept, vehicle type, how the car is used, credit score</t>
        </is>
      </c>
      <c r="D11" s="41" t="inlineStr">
        <is>
          <t>TDI guide</t>
        </is>
      </c>
      <c r="E11" s="41" t="inlineStr">
        <is>
          <t>Texas Dept of Insurance - Auto insurance guide (CB020)</t>
        </is>
      </c>
      <c r="F11" s="42" t="inlineStr">
        <is>
          <t>https://www.tdi.texas.gov/pubs/consumer/cb020.html</t>
        </is>
      </c>
      <c r="G11" s="43" t="n">
        <v>46295</v>
      </c>
      <c r="H11" s="41" t="inlineStr">
        <is>
          <t>Texas</t>
        </is>
      </c>
      <c r="I11" s="41" t="inlineStr">
        <is>
          <t>Regulator-published</t>
        </is>
      </c>
      <c r="J11" s="44" t="inlineStr">
        <is>
          <t>Primary source</t>
        </is>
      </c>
      <c r="K11" s="43" t="n">
        <v>46295</v>
      </c>
      <c r="L11" s="41" t="n"/>
    </row>
    <row r="12" ht="23.85" customHeight="1" s="29">
      <c r="A12" s="41" t="inlineStr">
        <is>
          <t>Discounts</t>
        </is>
      </c>
      <c r="B12" s="41" t="inlineStr">
        <is>
          <t>Discounts</t>
        </is>
      </c>
      <c r="C12" s="41" t="inlineStr">
        <is>
          <t>Each company decides what to offer and the amount</t>
        </is>
      </c>
      <c r="D12" s="41" t="inlineStr">
        <is>
          <t>TDI guide</t>
        </is>
      </c>
      <c r="E12" s="41" t="inlineStr">
        <is>
          <t>Texas Dept of Insurance - Auto insurance guide (CB020)</t>
        </is>
      </c>
      <c r="F12" s="42" t="inlineStr">
        <is>
          <t>https://www.tdi.texas.gov/pubs/consumer/cb020.html</t>
        </is>
      </c>
      <c r="G12" s="43" t="n">
        <v>46295</v>
      </c>
      <c r="H12" s="41" t="inlineStr">
        <is>
          <t>Texas</t>
        </is>
      </c>
      <c r="I12" s="41" t="inlineStr">
        <is>
          <t>Regulator-published</t>
        </is>
      </c>
      <c r="J12" s="44" t="inlineStr">
        <is>
          <t>Primary source</t>
        </is>
      </c>
      <c r="K12" s="43" t="n">
        <v>46295</v>
      </c>
      <c r="L12" s="41" t="inlineStr">
        <is>
          <t>Examples TDI lists: airbags/ABS/antitheft, defensive driving or driver education, multi-car, multi-policy, no claims.</t>
        </is>
      </c>
    </row>
    <row r="13" ht="35.05" customHeight="1" s="29">
      <c r="A13" s="41" t="inlineStr">
        <is>
          <t>Policy changes</t>
        </is>
      </c>
      <c r="B13" s="41" t="inlineStr">
        <is>
          <t>Cancellation</t>
        </is>
      </c>
      <c r="C13" s="41" t="inlineStr">
        <is>
          <t>10 days' notice; any reason in first 60 days; afterwards only nonpayment, fraudulent claim, or suspended license/registration; unearned premium refunded within 15 days</t>
        </is>
      </c>
      <c r="D13" s="41" t="inlineStr">
        <is>
          <t>TDI guide</t>
        </is>
      </c>
      <c r="E13" s="41" t="inlineStr">
        <is>
          <t>Texas Dept of Insurance - Auto insurance guide (CB020)</t>
        </is>
      </c>
      <c r="F13" s="42" t="inlineStr">
        <is>
          <t>https://www.tdi.texas.gov/pubs/consumer/cb020.html</t>
        </is>
      </c>
      <c r="G13" s="43" t="n">
        <v>46295</v>
      </c>
      <c r="H13" s="41" t="inlineStr">
        <is>
          <t>Texas</t>
        </is>
      </c>
      <c r="I13" s="41" t="inlineStr">
        <is>
          <t>Regulator-published</t>
        </is>
      </c>
      <c r="J13" s="44" t="inlineStr">
        <is>
          <t>Primary source</t>
        </is>
      </c>
      <c r="K13" s="43" t="n">
        <v>46295</v>
      </c>
      <c r="L13" s="41" t="n"/>
    </row>
    <row r="14" ht="35.05" customHeight="1" s="29">
      <c r="A14" s="41" t="inlineStr">
        <is>
          <t>Policy changes</t>
        </is>
      </c>
      <c r="B14" s="41" t="inlineStr">
        <is>
          <t>Nonrenewal</t>
        </is>
      </c>
      <c r="C14" s="41" t="inlineStr">
        <is>
          <t>Written reason; 60 days' notice if bought or renewed in 2024 (30 days for 2023 or earlier); only after 12 months in effect; no nonrenewal for age or certain claims (weather, hitting an animal, not-at-fault, flying objects)</t>
        </is>
      </c>
      <c r="D14" s="41" t="inlineStr">
        <is>
          <t>TDI guide</t>
        </is>
      </c>
      <c r="E14" s="41" t="inlineStr">
        <is>
          <t>Texas Dept of Insurance - Auto insurance guide (CB020)</t>
        </is>
      </c>
      <c r="F14" s="42" t="inlineStr">
        <is>
          <t>https://www.tdi.texas.gov/pubs/consumer/cb020.html</t>
        </is>
      </c>
      <c r="G14" s="43" t="n">
        <v>46295</v>
      </c>
      <c r="H14" s="41" t="inlineStr">
        <is>
          <t>Texas</t>
        </is>
      </c>
      <c r="I14" s="41" t="inlineStr">
        <is>
          <t>Regulator-published</t>
        </is>
      </c>
      <c r="J14" s="46" t="inlineStr">
        <is>
          <t>Conflicting</t>
        </is>
      </c>
      <c r="K14" s="43" t="n">
        <v>46295</v>
      </c>
      <c r="L14" s="41" t="inlineStr">
        <is>
          <t>Wording is date-specific; confirm the current notice period with TDI.</t>
        </is>
      </c>
    </row>
    <row r="15" ht="35.05" customHeight="1" s="29">
      <c r="A15" s="41" t="inlineStr">
        <is>
          <t>Programs</t>
        </is>
      </c>
      <c r="B15" s="41" t="inlineStr">
        <is>
          <t>Texas Automobile Insurance Plan (TAIPA)</t>
        </is>
      </c>
      <c r="C15" s="41" t="inlineStr">
        <is>
          <t>Available after two insurers decline; liability, PIP and UM/UIM only; no collision, comprehensive or higher limits; cheaper policy must be offered after 3 clean years</t>
        </is>
      </c>
      <c r="D15" s="41" t="inlineStr">
        <is>
          <t>TDI guide</t>
        </is>
      </c>
      <c r="E15" s="41" t="inlineStr">
        <is>
          <t>Texas Dept of Insurance - Auto insurance guide (CB020)</t>
        </is>
      </c>
      <c r="F15" s="42" t="inlineStr">
        <is>
          <t>https://www.tdi.texas.gov/pubs/consumer/cb020.html</t>
        </is>
      </c>
      <c r="G15" s="43" t="n">
        <v>46295</v>
      </c>
      <c r="H15" s="41" t="inlineStr">
        <is>
          <t>Texas</t>
        </is>
      </c>
      <c r="I15" s="41" t="inlineStr">
        <is>
          <t>Regulator-published</t>
        </is>
      </c>
      <c r="J15" s="44" t="inlineStr">
        <is>
          <t>Primary source</t>
        </is>
      </c>
      <c r="K15" s="43" t="n">
        <v>46295</v>
      </c>
      <c r="L15" s="41" t="n"/>
    </row>
    <row r="16" ht="35.05" customHeight="1" s="29">
      <c r="A16" s="41" t="inlineStr">
        <is>
          <t>Claims</t>
        </is>
      </c>
      <c r="B16" s="41" t="inlineStr">
        <is>
          <t>Deadlines</t>
        </is>
      </c>
      <c r="C16" s="41" t="inlineStr">
        <is>
          <t>Acknowledge within 15 days; accept or reject within 15 business days of receiving information (45 days if more time needed); pay within 5 business days of agreeing</t>
        </is>
      </c>
      <c r="D16" s="41" t="inlineStr">
        <is>
          <t>TDI guide</t>
        </is>
      </c>
      <c r="E16" s="41" t="inlineStr">
        <is>
          <t>Texas Dept of Insurance - Auto insurance guide (CB020)</t>
        </is>
      </c>
      <c r="F16" s="42" t="inlineStr">
        <is>
          <t>https://www.tdi.texas.gov/pubs/consumer/cb020.html</t>
        </is>
      </c>
      <c r="G16" s="43" t="n">
        <v>46295</v>
      </c>
      <c r="H16" s="41" t="inlineStr">
        <is>
          <t>Texas</t>
        </is>
      </c>
      <c r="I16" s="41" t="inlineStr">
        <is>
          <t>Regulator-published</t>
        </is>
      </c>
      <c r="J16" s="44" t="inlineStr">
        <is>
          <t>Primary source</t>
        </is>
      </c>
      <c r="K16" s="43" t="n">
        <v>46295</v>
      </c>
      <c r="L16" s="41" t="inlineStr">
        <is>
          <t>Prompt-pay rules do not apply when another driver's insurer pays.</t>
        </is>
      </c>
    </row>
    <row r="17" ht="23.85" customHeight="1" s="29">
      <c r="A17" s="41" t="inlineStr">
        <is>
          <t>Claims</t>
        </is>
      </c>
      <c r="B17" s="41" t="inlineStr">
        <is>
          <t>Settlement basis</t>
        </is>
      </c>
      <c r="C17" s="41" t="inlineStr">
        <is>
          <t>Actual cash value; parts of like kind and quality; insurer cannot require preferred shops</t>
        </is>
      </c>
      <c r="D17" s="41" t="inlineStr">
        <is>
          <t>TDI guide</t>
        </is>
      </c>
      <c r="E17" s="41" t="inlineStr">
        <is>
          <t>Texas Dept of Insurance - Auto insurance guide (CB020)</t>
        </is>
      </c>
      <c r="F17" s="42" t="inlineStr">
        <is>
          <t>https://www.tdi.texas.gov/pubs/consumer/cb020.html</t>
        </is>
      </c>
      <c r="G17" s="43" t="n">
        <v>46295</v>
      </c>
      <c r="H17" s="41" t="inlineStr">
        <is>
          <t>Texas</t>
        </is>
      </c>
      <c r="I17" s="41" t="inlineStr">
        <is>
          <t>Regulator-published</t>
        </is>
      </c>
      <c r="J17" s="44" t="inlineStr">
        <is>
          <t>Primary source</t>
        </is>
      </c>
      <c r="K17" s="43" t="n">
        <v>46295</v>
      </c>
      <c r="L17" s="41" t="n"/>
    </row>
    <row r="18" ht="23.85" customHeight="1" s="29">
      <c r="A18" s="41" t="inlineStr">
        <is>
          <t>Claims</t>
        </is>
      </c>
      <c r="B18" s="41" t="inlineStr">
        <is>
          <t>Disputes</t>
        </is>
      </c>
      <c r="C18" s="41" t="inlineStr">
        <is>
          <t>Appraisal, TDI complaint (in writing), or court (Justice Court for claims under $10,000)</t>
        </is>
      </c>
      <c r="D18" s="41" t="inlineStr">
        <is>
          <t>TDI guide</t>
        </is>
      </c>
      <c r="E18" s="41" t="inlineStr">
        <is>
          <t>Texas Dept of Insurance - Auto insurance guide (CB020)</t>
        </is>
      </c>
      <c r="F18" s="42" t="inlineStr">
        <is>
          <t>https://www.tdi.texas.gov/pubs/consumer/cb020.html</t>
        </is>
      </c>
      <c r="G18" s="43" t="n">
        <v>46295</v>
      </c>
      <c r="H18" s="41" t="inlineStr">
        <is>
          <t>Texas</t>
        </is>
      </c>
      <c r="I18" s="41" t="inlineStr">
        <is>
          <t>Regulator-published</t>
        </is>
      </c>
      <c r="J18" s="44" t="inlineStr">
        <is>
          <t>Primary source</t>
        </is>
      </c>
      <c r="K18" s="43" t="n">
        <v>46295</v>
      </c>
      <c r="L18" s="41" t="n"/>
    </row>
    <row r="19" ht="23.85" customHeight="1" s="29">
      <c r="A19" s="41" t="inlineStr">
        <is>
          <t>Consumer rights</t>
        </is>
      </c>
      <c r="B19" s="41" t="inlineStr">
        <is>
          <t>Auto Consumer Bill of Rights</t>
        </is>
      </c>
      <c r="C19" s="41" t="inlineStr">
        <is>
          <t>Insurer must give a copy when you get or renew a policy</t>
        </is>
      </c>
      <c r="D19" s="41" t="inlineStr">
        <is>
          <t>TDI guide</t>
        </is>
      </c>
      <c r="E19" s="41" t="inlineStr">
        <is>
          <t>Texas Dept of Insurance - Auto insurance guide (CB020)</t>
        </is>
      </c>
      <c r="F19" s="42" t="inlineStr">
        <is>
          <t>https://www.tdi.texas.gov/pubs/consumer/cb020.html</t>
        </is>
      </c>
      <c r="G19" s="43" t="n">
        <v>46295</v>
      </c>
      <c r="H19" s="41" t="inlineStr">
        <is>
          <t>Texas</t>
        </is>
      </c>
      <c r="I19" s="41" t="inlineStr">
        <is>
          <t>Regulator-published</t>
        </is>
      </c>
      <c r="J19" s="44" t="inlineStr">
        <is>
          <t>Primary source</t>
        </is>
      </c>
      <c r="K19" s="43" t="n">
        <v>46295</v>
      </c>
      <c r="L19" s="41" t="n"/>
    </row>
  </sheetData>
  <autoFilter ref="A1:L19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www.tdi.texas.gov/pubs/consumer/cb020.html" r:id="rId1"/>
    <hyperlink xmlns:r="http://schemas.openxmlformats.org/officeDocument/2006/relationships" ref="F3" display="https://www.tdi.texas.gov/pubs/consumer/cb020.html" r:id="rId2"/>
    <hyperlink xmlns:r="http://schemas.openxmlformats.org/officeDocument/2006/relationships" ref="F4" display="https://www.ashmorelaw.com/blog/car-insurance-do-you-have-enough-.cfm" r:id="rId3"/>
    <hyperlink xmlns:r="http://schemas.openxmlformats.org/officeDocument/2006/relationships" ref="F5" display="https://www.tdi.texas.gov/pubs/consumer/cb020.html" r:id="rId4"/>
    <hyperlink xmlns:r="http://schemas.openxmlformats.org/officeDocument/2006/relationships" ref="F6" display="https://www.tdi.texas.gov/pubs/consumer/cb020.html" r:id="rId5"/>
    <hyperlink xmlns:r="http://schemas.openxmlformats.org/officeDocument/2006/relationships" ref="F7" display="https://www.tdi.texas.gov/pubs/consumer/cb020.html" r:id="rId6"/>
    <hyperlink xmlns:r="http://schemas.openxmlformats.org/officeDocument/2006/relationships" ref="F8" display="https://www.tdi.texas.gov/pubs/consumer/cb020.html" r:id="rId7"/>
    <hyperlink xmlns:r="http://schemas.openxmlformats.org/officeDocument/2006/relationships" ref="F9" display="https://www.tdi.texas.gov/pubs/consumer/cb020.html" r:id="rId8"/>
    <hyperlink xmlns:r="http://schemas.openxmlformats.org/officeDocument/2006/relationships" ref="F10" display="https://www.tdi.texas.gov/pubs/consumer/cb020.html" r:id="rId9"/>
    <hyperlink xmlns:r="http://schemas.openxmlformats.org/officeDocument/2006/relationships" ref="F11" display="https://www.tdi.texas.gov/pubs/consumer/cb020.html" r:id="rId10"/>
    <hyperlink xmlns:r="http://schemas.openxmlformats.org/officeDocument/2006/relationships" ref="F12" display="https://www.tdi.texas.gov/pubs/consumer/cb020.html" r:id="rId11"/>
    <hyperlink xmlns:r="http://schemas.openxmlformats.org/officeDocument/2006/relationships" ref="F13" display="https://www.tdi.texas.gov/pubs/consumer/cb020.html" r:id="rId12"/>
    <hyperlink xmlns:r="http://schemas.openxmlformats.org/officeDocument/2006/relationships" ref="F14" display="https://www.tdi.texas.gov/pubs/consumer/cb020.html" r:id="rId13"/>
    <hyperlink xmlns:r="http://schemas.openxmlformats.org/officeDocument/2006/relationships" ref="F15" display="https://www.tdi.texas.gov/pubs/consumer/cb020.html" r:id="rId14"/>
    <hyperlink xmlns:r="http://schemas.openxmlformats.org/officeDocument/2006/relationships" ref="F16" display="https://www.tdi.texas.gov/pubs/consumer/cb020.html" r:id="rId15"/>
    <hyperlink xmlns:r="http://schemas.openxmlformats.org/officeDocument/2006/relationships" ref="F17" display="https://www.tdi.texas.gov/pubs/consumer/cb020.html" r:id="rId16"/>
    <hyperlink xmlns:r="http://schemas.openxmlformats.org/officeDocument/2006/relationships" ref="F18" display="https://www.tdi.texas.gov/pubs/consumer/cb020.html" r:id="rId17"/>
    <hyperlink xmlns:r="http://schemas.openxmlformats.org/officeDocument/2006/relationships" ref="F19" display="https://www.tdi.texas.gov/pubs/consumer/cb020.html" r:id="rId1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34" customWidth="1" style="28" min="2" max="2"/>
    <col width="60" customWidth="1" style="28" min="3" max="3"/>
    <col width="34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0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Requirement</t>
        </is>
      </c>
      <c r="B2" s="41" t="inlineStr">
        <is>
          <t>Coverage required to register</t>
        </is>
      </c>
      <c r="C2" s="41" t="inlineStr">
        <is>
          <t>PIP $10,000 and property damage liability $10,000 for vehicles with at least four wheels</t>
        </is>
      </c>
      <c r="D2" s="41" t="inlineStr">
        <is>
          <t>FLHSMV; s. 627.736 and 324.022 per secondary sources</t>
        </is>
      </c>
      <c r="E2" s="41" t="inlineStr">
        <is>
          <t>Florida DHSMV - Florida Insurance Requirements</t>
        </is>
      </c>
      <c r="F2" s="42" t="inlineStr">
        <is>
          <t>https://www.flhsmv.gov/insurance/</t>
        </is>
      </c>
      <c r="G2" s="43" t="n">
        <v>46295</v>
      </c>
      <c r="H2" s="41" t="inlineStr">
        <is>
          <t>Florida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n"/>
    </row>
    <row r="3" ht="23.85" customHeight="1" s="29">
      <c r="A3" s="41" t="inlineStr">
        <is>
          <t>Requirement</t>
        </is>
      </c>
      <c r="B3" s="41" t="inlineStr">
        <is>
          <t>PIP benefit</t>
        </is>
      </c>
      <c r="C3" s="41" t="inlineStr">
        <is>
          <t>Pays 80% of necessary and reasonable medical expenses up to $10,000, regardless of fault</t>
        </is>
      </c>
      <c r="D3" s="41" t="inlineStr">
        <is>
          <t>FLHSMV</t>
        </is>
      </c>
      <c r="E3" s="41" t="inlineStr">
        <is>
          <t>Florida DHSMV - Florida Insurance Requirements</t>
        </is>
      </c>
      <c r="F3" s="42" t="inlineStr">
        <is>
          <t>https://www.flhsmv.gov/insurance/</t>
        </is>
      </c>
      <c r="G3" s="43" t="n">
        <v>46295</v>
      </c>
      <c r="H3" s="41" t="inlineStr">
        <is>
          <t>Florida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n"/>
    </row>
    <row r="4" ht="23.85" customHeight="1" s="29">
      <c r="A4" s="41" t="inlineStr">
        <is>
          <t>Requirement</t>
        </is>
      </c>
      <c r="B4" s="41" t="inlineStr">
        <is>
          <t>Bodily injury liability</t>
        </is>
      </c>
      <c r="C4" s="41" t="inlineStr">
        <is>
          <t>Not required for most private passenger vehicles; taxis must carry $125,000/$250,000/$50,000</t>
        </is>
      </c>
      <c r="D4" s="41" t="inlineStr">
        <is>
          <t>FLHSMV</t>
        </is>
      </c>
      <c r="E4" s="41" t="inlineStr">
        <is>
          <t>Florida DHSMV - Florida Insurance Requirements</t>
        </is>
      </c>
      <c r="F4" s="42" t="inlineStr">
        <is>
          <t>https://www.flhsmv.gov/insurance/</t>
        </is>
      </c>
      <c r="G4" s="43" t="n">
        <v>46295</v>
      </c>
      <c r="H4" s="41" t="inlineStr">
        <is>
          <t>Florida</t>
        </is>
      </c>
      <c r="I4" s="41" t="inlineStr">
        <is>
          <t>Regulator-published</t>
        </is>
      </c>
      <c r="J4" s="44" t="inlineStr">
        <is>
          <t>Primary source</t>
        </is>
      </c>
      <c r="K4" s="43" t="n">
        <v>46295</v>
      </c>
      <c r="L4" s="41" t="n"/>
    </row>
    <row r="5" ht="23.85" customHeight="1" s="29">
      <c r="A5" s="41" t="inlineStr">
        <is>
          <t>Requirement</t>
        </is>
      </c>
      <c r="B5" s="41" t="inlineStr">
        <is>
          <t>Continuous coverage</t>
        </is>
      </c>
      <c r="C5" s="41" t="inlineStr">
        <is>
          <t>Required even if the vehicle is not driven; surrender the plate before cancelling insurance</t>
        </is>
      </c>
      <c r="D5" s="41" t="inlineStr">
        <is>
          <t>FLHSMV</t>
        </is>
      </c>
      <c r="E5" s="41" t="inlineStr">
        <is>
          <t>Florida DHSMV - Florida Insurance Requirements</t>
        </is>
      </c>
      <c r="F5" s="42" t="inlineStr">
        <is>
          <t>https://www.flhsmv.gov/insurance/</t>
        </is>
      </c>
      <c r="G5" s="43" t="n">
        <v>46295</v>
      </c>
      <c r="H5" s="41" t="inlineStr">
        <is>
          <t>Florida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n"/>
    </row>
    <row r="6" ht="23.85" customHeight="1" s="29">
      <c r="A6" s="41" t="inlineStr">
        <is>
          <t>Penalties</t>
        </is>
      </c>
      <c r="B6" s="41" t="inlineStr">
        <is>
          <t>Lapse consequences</t>
        </is>
      </c>
      <c r="C6" s="41" t="inlineStr">
        <is>
          <t>Driving privilege and plate can be suspended up to 3 years; reinstatement fee up to $500; no hardship license</t>
        </is>
      </c>
      <c r="D6" s="41" t="inlineStr">
        <is>
          <t>FLHSMV</t>
        </is>
      </c>
      <c r="E6" s="41" t="inlineStr">
        <is>
          <t>Florida DHSMV - Florida Insurance Requirements</t>
        </is>
      </c>
      <c r="F6" s="42" t="inlineStr">
        <is>
          <t>https://www.flhsmv.gov/insurance/</t>
        </is>
      </c>
      <c r="G6" s="43" t="n">
        <v>46295</v>
      </c>
      <c r="H6" s="41" t="inlineStr">
        <is>
          <t>Florida</t>
        </is>
      </c>
      <c r="I6" s="41" t="inlineStr">
        <is>
          <t>Regulator-published</t>
        </is>
      </c>
      <c r="J6" s="44" t="inlineStr">
        <is>
          <t>Primary source</t>
        </is>
      </c>
      <c r="K6" s="43" t="n">
        <v>46295</v>
      </c>
      <c r="L6" s="41" t="n"/>
    </row>
    <row r="7" ht="23.85" customHeight="1" s="29">
      <c r="A7" s="41" t="inlineStr">
        <is>
          <t>Financial responsibility</t>
        </is>
      </c>
      <c r="B7" s="41" t="inlineStr">
        <is>
          <t>After a crash</t>
        </is>
      </c>
      <c r="C7" s="41" t="inlineStr">
        <is>
          <t>Proof of ability to pay damages: $10,000 for one person, $20,000 for two or more (bodily injury), plus property damage</t>
        </is>
      </c>
      <c r="D7" s="41" t="inlineStr">
        <is>
          <t>Ch. 324 (2022 text)</t>
        </is>
      </c>
      <c r="E7" s="41" t="inlineStr">
        <is>
          <t>Florida Statutes Chapter 324 - Financial Responsibility (2022 text)</t>
        </is>
      </c>
      <c r="F7" s="42" t="inlineStr">
        <is>
          <t>https://www.flsenate.gov/Laws/Statutes/2022/Chapter324/All</t>
        </is>
      </c>
      <c r="G7" s="43" t="n">
        <v>46295</v>
      </c>
      <c r="H7" s="41" t="inlineStr">
        <is>
          <t>Florida</t>
        </is>
      </c>
      <c r="I7" s="41" t="inlineStr">
        <is>
          <t>Statute / regulation text</t>
        </is>
      </c>
      <c r="J7" s="44" t="inlineStr">
        <is>
          <t>Primary source</t>
        </is>
      </c>
      <c r="K7" s="43" t="n">
        <v>46295</v>
      </c>
      <c r="L7" s="41" t="inlineStr">
        <is>
          <t>Confirm current text; SR-22 is the filing that certifies BIL and PDL after a suspension (FLHSMV).</t>
        </is>
      </c>
    </row>
    <row r="8" ht="23.85" customHeight="1" s="29">
      <c r="A8" s="41" t="inlineStr">
        <is>
          <t>Financial responsibility</t>
        </is>
      </c>
      <c r="B8" s="41" t="inlineStr">
        <is>
          <t>DUI convictions</t>
        </is>
      </c>
      <c r="C8" s="41" t="inlineStr">
        <is>
          <t>BI liability of $100,000/$300,000 and $50,000 PD required</t>
        </is>
      </c>
      <c r="D8" s="41" t="inlineStr">
        <is>
          <t>s. 324.023 (per law-firm sources)</t>
        </is>
      </c>
      <c r="E8" s="41" t="inlineStr">
        <is>
          <t>Viles &amp; Beckman - Did Florida repeal no-fault? (Jul 2026)</t>
        </is>
      </c>
      <c r="F8" s="42" t="inlineStr">
        <is>
          <t>https://www.vilesandbeckman.com/blog/did-florida-repeal-no-fault-insurance-the-pip-myths-and-the-facts-for-2026/</t>
        </is>
      </c>
      <c r="G8" s="43" t="n">
        <v>46295</v>
      </c>
      <c r="H8" s="41" t="inlineStr">
        <is>
          <t>Florida</t>
        </is>
      </c>
      <c r="I8" s="41" t="inlineStr">
        <is>
          <t>Reference data (secondary source)</t>
        </is>
      </c>
      <c r="J8" s="45" t="inlineStr">
        <is>
          <t>Secondary - unverified</t>
        </is>
      </c>
      <c r="K8" s="43" t="n">
        <v>46295</v>
      </c>
      <c r="L8" s="41" t="inlineStr">
        <is>
          <t>Not confirmed from statute text.</t>
        </is>
      </c>
    </row>
    <row r="9" ht="23.85" customHeight="1" s="29">
      <c r="A9" s="41" t="inlineStr">
        <is>
          <t>No-fault</t>
        </is>
      </c>
      <c r="B9" s="41" t="inlineStr">
        <is>
          <t>Serious-injury threshold, 14-day rule, 60% wage loss, $5,000 death benefit</t>
        </is>
      </c>
      <c r="C9" s="41" t="inlineStr">
        <is>
          <t>Reported by law firms; PIP requires treatment within 14 days; lawsuits for pain and suffering require a defined serious injury</t>
        </is>
      </c>
      <c r="D9" s="41" t="inlineStr">
        <is>
          <t>s. 627.736, 627.737 (per law-firm sources)</t>
        </is>
      </c>
      <c r="E9" s="41" t="inlineStr">
        <is>
          <t>Viles &amp; Beckman - Did Florida repeal no-fault? (Jul 2026)</t>
        </is>
      </c>
      <c r="F9" s="42" t="inlineStr">
        <is>
          <t>https://www.vilesandbeckman.com/blog/did-florida-repeal-no-fault-insurance-the-pip-myths-and-the-facts-for-2026/</t>
        </is>
      </c>
      <c r="G9" s="43" t="n">
        <v>46295</v>
      </c>
      <c r="H9" s="41" t="inlineStr">
        <is>
          <t>Florida</t>
        </is>
      </c>
      <c r="I9" s="41" t="inlineStr">
        <is>
          <t>Reference data (secondary source)</t>
        </is>
      </c>
      <c r="J9" s="45" t="inlineStr">
        <is>
          <t>Secondary - unverified</t>
        </is>
      </c>
      <c r="K9" s="43" t="n">
        <v>46295</v>
      </c>
      <c r="L9" s="41" t="inlineStr">
        <is>
          <t>Read the statute before publishing.</t>
        </is>
      </c>
    </row>
    <row r="10" ht="23.85" customHeight="1" s="29">
      <c r="A10" s="41" t="inlineStr">
        <is>
          <t>Legislation</t>
        </is>
      </c>
      <c r="B10" s="41" t="inlineStr">
        <is>
          <t>PIP repeal</t>
        </is>
      </c>
      <c r="C10" s="41" t="inlineStr">
        <is>
          <t>SB 522 and HB 769 died in committee on Mar 13, 2026; PIP remains required</t>
        </is>
      </c>
      <c r="D10" s="41" t="inlineStr">
        <is>
          <t>Florida Legislature (per law-firm sources)</t>
        </is>
      </c>
      <c r="E10" s="41" t="inlineStr">
        <is>
          <t>Viles &amp; Beckman - Did Florida repeal no-fault? (Jul 2026)</t>
        </is>
      </c>
      <c r="F10" s="42" t="inlineStr">
        <is>
          <t>https://www.vilesandbeckman.com/blog/did-florida-repeal-no-fault-insurance-the-pip-myths-and-the-facts-for-2026/</t>
        </is>
      </c>
      <c r="G10" s="43" t="n">
        <v>46295</v>
      </c>
      <c r="H10" s="41" t="inlineStr">
        <is>
          <t>Florida</t>
        </is>
      </c>
      <c r="I10" s="41" t="inlineStr">
        <is>
          <t>Reference data (secondary source)</t>
        </is>
      </c>
      <c r="J10" s="45" t="inlineStr">
        <is>
          <t>Secondary - unverified</t>
        </is>
      </c>
      <c r="K10" s="43" t="n">
        <v>46295</v>
      </c>
      <c r="L10" s="41" t="inlineStr">
        <is>
          <t>Next session convenes Mar 2, 2027; verify at flsenate.gov.</t>
        </is>
      </c>
    </row>
    <row r="11" ht="35.05" customHeight="1" s="29">
      <c r="A11" s="41" t="inlineStr">
        <is>
          <t>Policy changes</t>
        </is>
      </c>
      <c r="B11" s="41" t="inlineStr">
        <is>
          <t>Cancellation</t>
        </is>
      </c>
      <c r="C11" s="41" t="inlineStr">
        <is>
          <t>At least 45 days' notice (10 days for nonpayment); notice must explain appeal right to the Office of Insurance Regulation (appeal at least 20 days before effective date)</t>
        </is>
      </c>
      <c r="D11" s="41" t="inlineStr">
        <is>
          <t>s. 627.728</t>
        </is>
      </c>
      <c r="E11" s="41" t="inlineStr">
        <is>
          <t>Florida Statutes 627.728 - Cancellations; nonrenewals (2025, via Justia)</t>
        </is>
      </c>
      <c r="F11" s="42" t="inlineStr">
        <is>
          <t>https://law.justia.com/codes/florida/title-xxxvii/chapter-627/part-xi/section-627-728/</t>
        </is>
      </c>
      <c r="G11" s="43" t="n">
        <v>46295</v>
      </c>
      <c r="H11" s="41" t="inlineStr">
        <is>
          <t>Florida</t>
        </is>
      </c>
      <c r="I11" s="41" t="inlineStr">
        <is>
          <t>Statute / regulation text</t>
        </is>
      </c>
      <c r="J11" s="44" t="inlineStr">
        <is>
          <t>Primary source</t>
        </is>
      </c>
      <c r="K11" s="43" t="n">
        <v>46295</v>
      </c>
      <c r="L11" s="41" t="inlineStr">
        <is>
          <t>Nonrenewal rules for private passenger auto not captured; s. 626.9201 sits in the surplus lines part of the code.</t>
        </is>
      </c>
    </row>
    <row r="12" ht="57.45" customHeight="1" s="29">
      <c r="A12" s="41" t="inlineStr">
        <is>
          <t>Rating</t>
        </is>
      </c>
      <c r="B12" s="41" t="inlineStr">
        <is>
          <t>Credit</t>
        </is>
      </c>
      <c r="C12" s="41" t="inlineStr">
        <is>
          <t>Statute regulates and limits use of credit reports and scores in personal lines motor vehicle and residential insurance; insurer must disclose the request and use DFS-prescribed language; certain inquiries and medical collections may not be used; appeal rights for events such as divorce, spouse's death, temporary job loss</t>
        </is>
      </c>
      <c r="D12" s="41" t="inlineStr">
        <is>
          <t>s. 626.9741</t>
        </is>
      </c>
      <c r="E12" s="41" t="inlineStr">
        <is>
          <t>Florida Statutes 626.9741 - Credit reports and scores by insurers</t>
        </is>
      </c>
      <c r="F12" s="42" t="inlineStr">
        <is>
          <t>https://www.flsenate.gov/Laws/Statutes/2025/0626.9741</t>
        </is>
      </c>
      <c r="G12" s="43" t="n">
        <v>46295</v>
      </c>
      <c r="H12" s="41" t="inlineStr">
        <is>
          <t>Florida</t>
        </is>
      </c>
      <c r="I12" s="41" t="inlineStr">
        <is>
          <t>Statute / regulation text</t>
        </is>
      </c>
      <c r="J12" s="44" t="inlineStr">
        <is>
          <t>Primary source</t>
        </is>
      </c>
      <c r="K12" s="43" t="n">
        <v>46295</v>
      </c>
      <c r="L12" s="41" t="inlineStr">
        <is>
          <t>Seen in snippets and older-year text; fetch was rate-limited. Confirm full text.</t>
        </is>
      </c>
    </row>
    <row r="13" ht="35.05" customHeight="1" s="29">
      <c r="A13" s="41" t="inlineStr">
        <is>
          <t>Discounts</t>
        </is>
      </c>
      <c r="B13" s="41" t="inlineStr">
        <is>
          <t>Statutory discounts</t>
        </is>
      </c>
      <c r="C13" s="41" t="inlineStr">
        <is>
          <t>Sections 627.06501 (driver improvement course, discount up to 10% presumed appropriate), 627.0652 (safety course, 3-year reduction), 627.0653 (specified equipment)</t>
        </is>
      </c>
      <c r="D13" s="41" t="inlineStr">
        <is>
          <t>Fla. Stat. 627.06501, 627.0652, 627.0653</t>
        </is>
      </c>
      <c r="E13" s="41" t="inlineStr">
        <is>
          <t>Florida Statutes Chapter 627 (2025) - table of contents</t>
        </is>
      </c>
      <c r="F13" s="42" t="inlineStr">
        <is>
          <t>https://www.flsenate.gov/Laws/Statutes/2025/Chapter627/All</t>
        </is>
      </c>
      <c r="G13" s="43" t="n">
        <v>46295</v>
      </c>
      <c r="H13" s="41" t="inlineStr">
        <is>
          <t>Florida</t>
        </is>
      </c>
      <c r="I13" s="41" t="inlineStr">
        <is>
          <t>Statute / regulation text</t>
        </is>
      </c>
      <c r="J13" s="45" t="inlineStr">
        <is>
          <t>Secondary - unverified</t>
        </is>
      </c>
      <c r="K13" s="43" t="n">
        <v>46295</v>
      </c>
      <c r="L13" s="41" t="inlineStr">
        <is>
          <t>Section titles confirmed in the 2025 table of contents; course text is from 2003 and 2012 versions.</t>
        </is>
      </c>
    </row>
    <row r="14" ht="23.85" customHeight="1" s="29">
      <c r="A14" s="41" t="inlineStr">
        <is>
          <t>Rates</t>
        </is>
      </c>
      <c r="B14" s="41" t="inlineStr">
        <is>
          <t>Rate filing rules</t>
        </is>
      </c>
      <c r="C14" s="41" t="inlineStr">
        <is>
          <t>Section 627.0651 governs making and use of rates for motor vehicle insurance</t>
        </is>
      </c>
      <c r="D14" s="41" t="inlineStr">
        <is>
          <t>s. 627.0651</t>
        </is>
      </c>
      <c r="E14" s="41" t="inlineStr">
        <is>
          <t>Florida Statutes Chapter 627 (2025) - table of contents</t>
        </is>
      </c>
      <c r="F14" s="42" t="inlineStr">
        <is>
          <t>https://www.flsenate.gov/Laws/Statutes/2025/Chapter627/All</t>
        </is>
      </c>
      <c r="G14" s="43" t="n">
        <v>46295</v>
      </c>
      <c r="H14" s="41" t="inlineStr">
        <is>
          <t>Florida</t>
        </is>
      </c>
      <c r="I14" s="41" t="inlineStr">
        <is>
          <t>Statute / regulation text</t>
        </is>
      </c>
      <c r="J14" s="47" t="inlineStr">
        <is>
          <t>Not researched</t>
        </is>
      </c>
      <c r="K14" s="43" t="n">
        <v>46295</v>
      </c>
      <c r="L14" s="41" t="inlineStr">
        <is>
          <t>Only the title was seen; not researched.</t>
        </is>
      </c>
    </row>
  </sheetData>
  <autoFilter ref="A1:L14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www.flhsmv.gov/insurance/" r:id="rId1"/>
    <hyperlink xmlns:r="http://schemas.openxmlformats.org/officeDocument/2006/relationships" ref="F3" display="https://www.flhsmv.gov/insurance/" r:id="rId2"/>
    <hyperlink xmlns:r="http://schemas.openxmlformats.org/officeDocument/2006/relationships" ref="F4" display="https://www.flhsmv.gov/insurance/" r:id="rId3"/>
    <hyperlink xmlns:r="http://schemas.openxmlformats.org/officeDocument/2006/relationships" ref="F5" display="https://www.flhsmv.gov/insurance/" r:id="rId4"/>
    <hyperlink xmlns:r="http://schemas.openxmlformats.org/officeDocument/2006/relationships" ref="F6" display="https://www.flhsmv.gov/insurance/" r:id="rId5"/>
    <hyperlink xmlns:r="http://schemas.openxmlformats.org/officeDocument/2006/relationships" ref="F7" display="https://www.flsenate.gov/Laws/Statutes/2022/Chapter324/All" r:id="rId6"/>
    <hyperlink xmlns:r="http://schemas.openxmlformats.org/officeDocument/2006/relationships" ref="F8" display="https://www.vilesandbeckman.com/blog/did-florida-repeal-no-fault-insurance-the-pip-myths-and-the-facts-for-2026/" r:id="rId7"/>
    <hyperlink xmlns:r="http://schemas.openxmlformats.org/officeDocument/2006/relationships" ref="F9" display="https://www.vilesandbeckman.com/blog/did-florida-repeal-no-fault-insurance-the-pip-myths-and-the-facts-for-2026/" r:id="rId8"/>
    <hyperlink xmlns:r="http://schemas.openxmlformats.org/officeDocument/2006/relationships" ref="F10" display="https://www.vilesandbeckman.com/blog/did-florida-repeal-no-fault-insurance-the-pip-myths-and-the-facts-for-2026/" r:id="rId9"/>
    <hyperlink xmlns:r="http://schemas.openxmlformats.org/officeDocument/2006/relationships" ref="F11" display="https://law.justia.com/codes/florida/title-xxxvii/chapter-627/part-xi/section-627-728/" r:id="rId10"/>
    <hyperlink xmlns:r="http://schemas.openxmlformats.org/officeDocument/2006/relationships" ref="F12" display="https://www.flsenate.gov/Laws/Statutes/2025/0626.9741" r:id="rId11"/>
    <hyperlink xmlns:r="http://schemas.openxmlformats.org/officeDocument/2006/relationships" ref="F13" display="https://www.flsenate.gov/Laws/Statutes/2025/Chapter627/All" r:id="rId12"/>
    <hyperlink xmlns:r="http://schemas.openxmlformats.org/officeDocument/2006/relationships" ref="F14" display="https://www.flsenate.gov/Laws/Statutes/2025/Chapter627/All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34" customWidth="1" style="28" min="2" max="2"/>
    <col width="60" customWidth="1" style="28" min="3" max="3"/>
    <col width="34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0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Minimum liability</t>
        </is>
      </c>
      <c r="B2" s="41" t="inlineStr">
        <is>
          <t>Bodily injury</t>
        </is>
      </c>
      <c r="C2" s="41" t="inlineStr">
        <is>
          <t>$25,000 per person (non-death) or $50,000 (death); $50,000 for two or more (non-death) or $100,000 (death)</t>
        </is>
      </c>
      <c r="D2" s="41" t="inlineStr">
        <is>
          <t>NY Vehicle and Traffic Law (per DFS)</t>
        </is>
      </c>
      <c r="E2" s="41" t="inlineStr">
        <is>
          <t>NY Dept of Financial Services - Auto Insurance Information for Consumers</t>
        </is>
      </c>
      <c r="F2" s="42" t="inlineStr">
        <is>
          <t>https://www.dfs.ny.gov/consumers/auto_insurance/Auto_resource_center</t>
        </is>
      </c>
      <c r="G2" s="43" t="n">
        <v>46295</v>
      </c>
      <c r="H2" s="41" t="inlineStr">
        <is>
          <t>New York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n"/>
    </row>
    <row r="3" ht="23.85" customHeight="1" s="29">
      <c r="A3" s="41" t="inlineStr">
        <is>
          <t>Minimum liability</t>
        </is>
      </c>
      <c r="B3" s="41" t="inlineStr">
        <is>
          <t>Property damage</t>
        </is>
      </c>
      <c r="C3" s="41" t="inlineStr">
        <is>
          <t>$10,000 per accident (25/50/10)</t>
        </is>
      </c>
      <c r="D3" s="41" t="inlineStr">
        <is>
          <t>DFS</t>
        </is>
      </c>
      <c r="E3" s="41" t="inlineStr">
        <is>
          <t>NY Dept of Financial Services - Auto Insurance Information for Consumers</t>
        </is>
      </c>
      <c r="F3" s="42" t="inlineStr">
        <is>
          <t>https://www.dfs.ny.gov/consumers/auto_insurance/Auto_resource_center</t>
        </is>
      </c>
      <c r="G3" s="43" t="n">
        <v>46295</v>
      </c>
      <c r="H3" s="41" t="inlineStr">
        <is>
          <t>New York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n"/>
    </row>
    <row r="4" ht="35.05" customHeight="1" s="29">
      <c r="A4" s="41" t="inlineStr">
        <is>
          <t>No-fault</t>
        </is>
      </c>
      <c r="B4" s="41" t="inlineStr">
        <is>
          <t>Basic PIP</t>
        </is>
      </c>
      <c r="C4" s="41" t="inlineStr">
        <is>
          <t>$50,000 per person: medical, 80% of lost earnings up to $2,000 a month for up to 3 years, $25 a day for up to a year for other expenses, $2,000 death benefit</t>
        </is>
      </c>
      <c r="D4" s="41" t="inlineStr">
        <is>
          <t>DFS</t>
        </is>
      </c>
      <c r="E4" s="41" t="inlineStr">
        <is>
          <t>NY Dept of Financial Services - Auto Insurance Information for Consumers</t>
        </is>
      </c>
      <c r="F4" s="42" t="inlineStr">
        <is>
          <t>https://www.dfs.ny.gov/consumers/auto_insurance/Auto_resource_center</t>
        </is>
      </c>
      <c r="G4" s="43" t="n">
        <v>46295</v>
      </c>
      <c r="H4" s="41" t="inlineStr">
        <is>
          <t>New York</t>
        </is>
      </c>
      <c r="I4" s="41" t="inlineStr">
        <is>
          <t>Regulator-published</t>
        </is>
      </c>
      <c r="J4" s="44" t="inlineStr">
        <is>
          <t>Primary source</t>
        </is>
      </c>
      <c r="K4" s="43" t="n">
        <v>46295</v>
      </c>
      <c r="L4" s="41" t="n"/>
    </row>
    <row r="5" ht="23.85" customHeight="1" s="29">
      <c r="A5" s="41" t="inlineStr">
        <is>
          <t>No-fault</t>
        </is>
      </c>
      <c r="B5" s="41" t="inlineStr">
        <is>
          <t>Lawsuits</t>
        </is>
      </c>
      <c r="C5" s="41" t="inlineStr">
        <is>
          <t>Non-economic damages only for a 'serious injury' as defined in the Insurance Law</t>
        </is>
      </c>
      <c r="D5" s="41" t="inlineStr">
        <is>
          <t>DFS</t>
        </is>
      </c>
      <c r="E5" s="41" t="inlineStr">
        <is>
          <t>NY Dept of Financial Services - Auto Insurance Information for Consumers</t>
        </is>
      </c>
      <c r="F5" s="42" t="inlineStr">
        <is>
          <t>https://www.dfs.ny.gov/consumers/auto_insurance/Auto_resource_center</t>
        </is>
      </c>
      <c r="G5" s="43" t="n">
        <v>46295</v>
      </c>
      <c r="H5" s="41" t="inlineStr">
        <is>
          <t>New York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n"/>
    </row>
    <row r="6" ht="23.85" customHeight="1" s="29">
      <c r="A6" s="41" t="inlineStr">
        <is>
          <t>No-fault</t>
        </is>
      </c>
      <c r="B6" s="41" t="inlineStr">
        <is>
          <t>Who is ineligible</t>
        </is>
      </c>
      <c r="C6" s="41" t="inlineStr">
        <is>
          <t>Impaired or intoxicated driver, intentional self-injury, ATV/motorcycle riders, felony, known stolen vehicle, owner of an uninsured vehicle</t>
        </is>
      </c>
      <c r="D6" s="41" t="inlineStr">
        <is>
          <t>DFS</t>
        </is>
      </c>
      <c r="E6" s="41" t="inlineStr">
        <is>
          <t>NY Dept of Financial Services - Auto Insurance Information for Consumers</t>
        </is>
      </c>
      <c r="F6" s="42" t="inlineStr">
        <is>
          <t>https://www.dfs.ny.gov/consumers/auto_insurance/Auto_resource_center</t>
        </is>
      </c>
      <c r="G6" s="43" t="n">
        <v>46295</v>
      </c>
      <c r="H6" s="41" t="inlineStr">
        <is>
          <t>New York</t>
        </is>
      </c>
      <c r="I6" s="41" t="inlineStr">
        <is>
          <t>Regulator-published</t>
        </is>
      </c>
      <c r="J6" s="44" t="inlineStr">
        <is>
          <t>Primary source</t>
        </is>
      </c>
      <c r="K6" s="43" t="n">
        <v>46295</v>
      </c>
      <c r="L6" s="41" t="n"/>
    </row>
    <row r="7" ht="23.85" customHeight="1" s="29">
      <c r="A7" s="41" t="inlineStr">
        <is>
          <t>No-fault</t>
        </is>
      </c>
      <c r="B7" s="41" t="inlineStr">
        <is>
          <t>Claim timing</t>
        </is>
      </c>
      <c r="C7" s="41" t="inlineStr">
        <is>
          <t>Written notice within 30 days; application sent within 5 business days; payment within 30 days; 2% monthly interest if late</t>
        </is>
      </c>
      <c r="D7" s="41" t="inlineStr">
        <is>
          <t>DFS</t>
        </is>
      </c>
      <c r="E7" s="41" t="inlineStr">
        <is>
          <t>NY Dept of Financial Services - Auto Insurance Information for Consumers</t>
        </is>
      </c>
      <c r="F7" s="42" t="inlineStr">
        <is>
          <t>https://www.dfs.ny.gov/consumers/auto_insurance/Auto_resource_center</t>
        </is>
      </c>
      <c r="G7" s="43" t="n">
        <v>46295</v>
      </c>
      <c r="H7" s="41" t="inlineStr">
        <is>
          <t>New York</t>
        </is>
      </c>
      <c r="I7" s="41" t="inlineStr">
        <is>
          <t>Regulator-published</t>
        </is>
      </c>
      <c r="J7" s="44" t="inlineStr">
        <is>
          <t>Primary source</t>
        </is>
      </c>
      <c r="K7" s="43" t="n">
        <v>46295</v>
      </c>
      <c r="L7" s="41" t="n"/>
    </row>
    <row r="8" ht="23.85" customHeight="1" s="29">
      <c r="A8" s="41" t="inlineStr">
        <is>
          <t>Uninsured motorists</t>
        </is>
      </c>
      <c r="B8" s="41" t="inlineStr">
        <is>
          <t>Required UM</t>
        </is>
      </c>
      <c r="C8" s="41" t="inlineStr">
        <is>
          <t>Same minimum bodily injury limits; applies to NY accidents; out-of-state by endorsement</t>
        </is>
      </c>
      <c r="D8" s="41" t="inlineStr">
        <is>
          <t>DFS</t>
        </is>
      </c>
      <c r="E8" s="41" t="inlineStr">
        <is>
          <t>NY Dept of Financial Services - Auto Insurance Information for Consumers</t>
        </is>
      </c>
      <c r="F8" s="42" t="inlineStr">
        <is>
          <t>https://www.dfs.ny.gov/consumers/auto_insurance/Auto_resource_center</t>
        </is>
      </c>
      <c r="G8" s="43" t="n">
        <v>46295</v>
      </c>
      <c r="H8" s="41" t="inlineStr">
        <is>
          <t>New York</t>
        </is>
      </c>
      <c r="I8" s="41" t="inlineStr">
        <is>
          <t>Regulator-published</t>
        </is>
      </c>
      <c r="J8" s="44" t="inlineStr">
        <is>
          <t>Primary source</t>
        </is>
      </c>
      <c r="K8" s="43" t="n">
        <v>46295</v>
      </c>
      <c r="L8" s="41" t="n"/>
    </row>
    <row r="9" ht="35.05" customHeight="1" s="29">
      <c r="A9" s="41" t="inlineStr">
        <is>
          <t>Uninsured motorists</t>
        </is>
      </c>
      <c r="B9" s="41" t="inlineStr">
        <is>
          <t>SUM</t>
        </is>
      </c>
      <c r="C9" s="41" t="inlineStr">
        <is>
          <t>Included at bodily injury limits unless declined by signed waiver; insurer notifies annually; up to BI limits; insurer must offer $250,000/$500,000 if BI is that high</t>
        </is>
      </c>
      <c r="D9" s="41" t="inlineStr">
        <is>
          <t>DFS FAQ</t>
        </is>
      </c>
      <c r="E9" s="41" t="inlineStr">
        <is>
          <t>NY DFS FAQ - How much auto insurance must I carry?</t>
        </is>
      </c>
      <c r="F9" s="42" t="inlineStr">
        <is>
          <t>https://www.dfs.ny.gov/faqs/consumer-auto/how-much-auto-insurance-must-i-carry</t>
        </is>
      </c>
      <c r="G9" s="43" t="n">
        <v>46295</v>
      </c>
      <c r="H9" s="41" t="inlineStr">
        <is>
          <t>New York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n"/>
    </row>
    <row r="10" ht="23.85" customHeight="1" s="29">
      <c r="A10" s="41" t="inlineStr">
        <is>
          <t>Optional</t>
        </is>
      </c>
      <c r="B10" s="41" t="inlineStr">
        <is>
          <t>Additional PIP, OBEL, spousal liability</t>
        </is>
      </c>
      <c r="C10" s="41" t="inlineStr">
        <is>
          <t>Additional PIP to $100,000+; OBEL adds $25,000; supplemental spousal liability included unless declined</t>
        </is>
      </c>
      <c r="D10" s="41" t="inlineStr">
        <is>
          <t>DFS</t>
        </is>
      </c>
      <c r="E10" s="41" t="inlineStr">
        <is>
          <t>NY Dept of Financial Services - Auto Insurance Information for Consumers</t>
        </is>
      </c>
      <c r="F10" s="42" t="inlineStr">
        <is>
          <t>https://www.dfs.ny.gov/consumers/auto_insurance/Auto_resource_center</t>
        </is>
      </c>
      <c r="G10" s="43" t="n">
        <v>46295</v>
      </c>
      <c r="H10" s="41" t="inlineStr">
        <is>
          <t>New York</t>
        </is>
      </c>
      <c r="I10" s="41" t="inlineStr">
        <is>
          <t>Regulator-published</t>
        </is>
      </c>
      <c r="J10" s="44" t="inlineStr">
        <is>
          <t>Primary source</t>
        </is>
      </c>
      <c r="K10" s="43" t="n">
        <v>46295</v>
      </c>
      <c r="L10" s="41" t="n"/>
    </row>
    <row r="11" ht="23.85" customHeight="1" s="29">
      <c r="A11" s="41" t="inlineStr">
        <is>
          <t>Enforcement</t>
        </is>
      </c>
      <c r="B11" s="41" t="inlineStr">
        <is>
          <t>DMV tracking</t>
        </is>
      </c>
      <c r="C11" s="41" t="inlineStr">
        <is>
          <t>Insurers report starts, renewals and cancellations; lapses can suspend registration and license</t>
        </is>
      </c>
      <c r="D11" s="41" t="inlineStr">
        <is>
          <t>DFS (IIES)</t>
        </is>
      </c>
      <c r="E11" s="41" t="inlineStr">
        <is>
          <t>NY Dept of Financial Services - Auto Insurance Information for Consumers</t>
        </is>
      </c>
      <c r="F11" s="42" t="inlineStr">
        <is>
          <t>https://www.dfs.ny.gov/consumers/auto_insurance/Auto_resource_center</t>
        </is>
      </c>
      <c r="G11" s="43" t="n">
        <v>46295</v>
      </c>
      <c r="H11" s="41" t="inlineStr">
        <is>
          <t>New York</t>
        </is>
      </c>
      <c r="I11" s="41" t="inlineStr">
        <is>
          <t>Regulator-published</t>
        </is>
      </c>
      <c r="J11" s="44" t="inlineStr">
        <is>
          <t>Primary source</t>
        </is>
      </c>
      <c r="K11" s="43" t="n">
        <v>46295</v>
      </c>
      <c r="L11" s="41" t="n"/>
    </row>
    <row r="12" ht="23.85" customHeight="1" s="29">
      <c r="A12" s="41" t="inlineStr">
        <is>
          <t>Rating</t>
        </is>
      </c>
      <c r="B12" s="41" t="inlineStr">
        <is>
          <t>Classifications</t>
        </is>
      </c>
      <c r="C12" s="41" t="inlineStr">
        <is>
          <t>Age, sex, marital status, territory, annual mileage, vehicle use and driving experience; inexperienced-operator surcharge if licensed under 3 years</t>
        </is>
      </c>
      <c r="D12" s="41" t="inlineStr">
        <is>
          <t>DFS</t>
        </is>
      </c>
      <c r="E12" s="41" t="inlineStr">
        <is>
          <t>NY Dept of Financial Services - Auto Insurance Information for Consumers</t>
        </is>
      </c>
      <c r="F12" s="42" t="inlineStr">
        <is>
          <t>https://www.dfs.ny.gov/consumers/auto_insurance/Auto_resource_center</t>
        </is>
      </c>
      <c r="G12" s="43" t="n">
        <v>46295</v>
      </c>
      <c r="H12" s="41" t="inlineStr">
        <is>
          <t>New York</t>
        </is>
      </c>
      <c r="I12" s="41" t="inlineStr">
        <is>
          <t>Regulator-published</t>
        </is>
      </c>
      <c r="J12" s="44" t="inlineStr">
        <is>
          <t>Primary source</t>
        </is>
      </c>
      <c r="K12" s="43" t="n">
        <v>46295</v>
      </c>
      <c r="L12" s="41" t="n"/>
    </row>
    <row r="13" ht="35.05" customHeight="1" s="29">
      <c r="A13" s="41" t="inlineStr">
        <is>
          <t>Rating</t>
        </is>
      </c>
      <c r="B13" s="41" t="inlineStr">
        <is>
          <t>Discrimination limits</t>
        </is>
      </c>
      <c r="C13" s="41" t="inlineStr">
        <is>
          <t>Insurance Law forbids refusing or terminating a policy because of race, creed, color, national origin, disability, sex, marital status or advanced age; cannot reject solely for geography; 39-month no-vehicle rule</t>
        </is>
      </c>
      <c r="D13" s="41" t="inlineStr">
        <is>
          <t>DFS</t>
        </is>
      </c>
      <c r="E13" s="41" t="inlineStr">
        <is>
          <t>NY Dept of Financial Services - Auto Insurance Information for Consumers</t>
        </is>
      </c>
      <c r="F13" s="42" t="inlineStr">
        <is>
          <t>https://www.dfs.ny.gov/consumers/auto_insurance/Auto_resource_center</t>
        </is>
      </c>
      <c r="G13" s="43" t="n">
        <v>46295</v>
      </c>
      <c r="H13" s="41" t="inlineStr">
        <is>
          <t>New York</t>
        </is>
      </c>
      <c r="I13" s="41" t="inlineStr">
        <is>
          <t>Regulator-published</t>
        </is>
      </c>
      <c r="J13" s="44" t="inlineStr">
        <is>
          <t>Primary source</t>
        </is>
      </c>
      <c r="K13" s="43" t="n">
        <v>46295</v>
      </c>
      <c r="L13" s="41" t="inlineStr">
        <is>
          <t>Reconcile with the classification list: rating classes are allowed, refusal or termination on these grounds is not.</t>
        </is>
      </c>
    </row>
    <row r="14" ht="35.05" customHeight="1" s="29">
      <c r="A14" s="41" t="inlineStr">
        <is>
          <t>Rating</t>
        </is>
      </c>
      <c r="B14" s="41" t="inlineStr">
        <is>
          <t>Credit</t>
        </is>
      </c>
      <c r="C14" s="41" t="inlineStr">
        <is>
          <t>May be used but not as sole basis for rejection; insurer must disclose use and notify of higher premium; review at least every 3 years; may not terminate or raise renewal premium based on credit</t>
        </is>
      </c>
      <c r="D14" s="41" t="inlineStr">
        <is>
          <t>DFS</t>
        </is>
      </c>
      <c r="E14" s="41" t="inlineStr">
        <is>
          <t>NY Dept of Financial Services - Auto Insurance Information for Consumers</t>
        </is>
      </c>
      <c r="F14" s="42" t="inlineStr">
        <is>
          <t>https://www.dfs.ny.gov/consumers/auto_insurance/Auto_resource_center</t>
        </is>
      </c>
      <c r="G14" s="43" t="n">
        <v>46295</v>
      </c>
      <c r="H14" s="41" t="inlineStr">
        <is>
          <t>New York</t>
        </is>
      </c>
      <c r="I14" s="41" t="inlineStr">
        <is>
          <t>Regulator-published</t>
        </is>
      </c>
      <c r="J14" s="44" t="inlineStr">
        <is>
          <t>Primary source</t>
        </is>
      </c>
      <c r="K14" s="43" t="n">
        <v>46295</v>
      </c>
      <c r="L14" s="41" t="n"/>
    </row>
    <row r="15" ht="35.05" customHeight="1" s="29">
      <c r="A15" s="41" t="inlineStr">
        <is>
          <t>Rating</t>
        </is>
      </c>
      <c r="B15" s="41" t="inlineStr">
        <is>
          <t>Surcharges</t>
        </is>
      </c>
      <c r="C15" s="41" t="inlineStr">
        <is>
          <t>First at-fault accident can add up to 40% under many plans; typical 3-year period; specified exceptions; total capped at 3 times base premium; applies only to liability, no-fault and collision</t>
        </is>
      </c>
      <c r="D15" s="41" t="inlineStr">
        <is>
          <t>DFS</t>
        </is>
      </c>
      <c r="E15" s="41" t="inlineStr">
        <is>
          <t>NY Dept of Financial Services - Auto Insurance Information for Consumers</t>
        </is>
      </c>
      <c r="F15" s="42" t="inlineStr">
        <is>
          <t>https://www.dfs.ny.gov/consumers/auto_insurance/Auto_resource_center</t>
        </is>
      </c>
      <c r="G15" s="43" t="n">
        <v>46295</v>
      </c>
      <c r="H15" s="41" t="inlineStr">
        <is>
          <t>New York</t>
        </is>
      </c>
      <c r="I15" s="41" t="inlineStr">
        <is>
          <t>Regulator-published</t>
        </is>
      </c>
      <c r="J15" s="44" t="inlineStr">
        <is>
          <t>Primary source</t>
        </is>
      </c>
      <c r="K15" s="43" t="n">
        <v>46295</v>
      </c>
      <c r="L15" s="41" t="n"/>
    </row>
    <row r="16" ht="23.85" customHeight="1" s="29">
      <c r="A16" s="41" t="inlineStr">
        <is>
          <t>Discounts</t>
        </is>
      </c>
      <c r="B16" s="41" t="inlineStr">
        <is>
          <t>Accident prevention course</t>
        </is>
      </c>
      <c r="C16" s="41" t="inlineStr">
        <is>
          <t>Insurers must apply a discount to liability, collision and no-fault for 3 years; up to 4 points removed from license record</t>
        </is>
      </c>
      <c r="D16" s="41" t="inlineStr">
        <is>
          <t>DFS</t>
        </is>
      </c>
      <c r="E16" s="41" t="inlineStr">
        <is>
          <t>NY Dept of Financial Services - Auto Insurance Information for Consumers</t>
        </is>
      </c>
      <c r="F16" s="42" t="inlineStr">
        <is>
          <t>https://www.dfs.ny.gov/consumers/auto_insurance/Auto_resource_center</t>
        </is>
      </c>
      <c r="G16" s="43" t="n">
        <v>46295</v>
      </c>
      <c r="H16" s="41" t="inlineStr">
        <is>
          <t>New York</t>
        </is>
      </c>
      <c r="I16" s="41" t="inlineStr">
        <is>
          <t>Regulator-published</t>
        </is>
      </c>
      <c r="J16" s="44" t="inlineStr">
        <is>
          <t>Primary source</t>
        </is>
      </c>
      <c r="K16" s="43" t="n">
        <v>46295</v>
      </c>
      <c r="L16" s="41" t="n"/>
    </row>
    <row r="17" ht="23.85" customHeight="1" s="29">
      <c r="A17" s="41" t="inlineStr">
        <is>
          <t>Discounts</t>
        </is>
      </c>
      <c r="B17" s="41" t="inlineStr">
        <is>
          <t>Equipment and anti-theft</t>
        </is>
      </c>
      <c r="C17" s="41" t="inlineStr">
        <is>
          <t>Discounts for ABS, daytime running lamps, air bags or automatic belts, anti-theft devices, electronic tracking and window etching</t>
        </is>
      </c>
      <c r="D17" s="41" t="inlineStr">
        <is>
          <t>DFS</t>
        </is>
      </c>
      <c r="E17" s="41" t="inlineStr">
        <is>
          <t>NY Dept of Financial Services - Auto Insurance Information for Consumers</t>
        </is>
      </c>
      <c r="F17" s="42" t="inlineStr">
        <is>
          <t>https://www.dfs.ny.gov/consumers/auto_insurance/Auto_resource_center</t>
        </is>
      </c>
      <c r="G17" s="43" t="n">
        <v>46295</v>
      </c>
      <c r="H17" s="41" t="inlineStr">
        <is>
          <t>New York</t>
        </is>
      </c>
      <c r="I17" s="41" t="inlineStr">
        <is>
          <t>Regulator-published</t>
        </is>
      </c>
      <c r="J17" s="44" t="inlineStr">
        <is>
          <t>Primary source</t>
        </is>
      </c>
      <c r="K17" s="43" t="n">
        <v>46295</v>
      </c>
      <c r="L17" s="41" t="inlineStr">
        <is>
          <t>Amount of required discounts must appear on the declarations page.</t>
        </is>
      </c>
    </row>
    <row r="18" ht="23.85" customHeight="1" s="29">
      <c r="A18" s="41" t="inlineStr">
        <is>
          <t>Discounts</t>
        </is>
      </c>
      <c r="B18" s="41" t="inlineStr">
        <is>
          <t>Telematics</t>
        </is>
      </c>
      <c r="C18" s="41" t="inlineStr">
        <is>
          <t>Optional; may be based on miles, time of day, acceleration, braking and GPS location</t>
        </is>
      </c>
      <c r="D18" s="41" t="inlineStr">
        <is>
          <t>DFS</t>
        </is>
      </c>
      <c r="E18" s="41" t="inlineStr">
        <is>
          <t>NY Dept of Financial Services - Auto Insurance Information for Consumers</t>
        </is>
      </c>
      <c r="F18" s="42" t="inlineStr">
        <is>
          <t>https://www.dfs.ny.gov/consumers/auto_insurance/Auto_resource_center</t>
        </is>
      </c>
      <c r="G18" s="43" t="n">
        <v>46295</v>
      </c>
      <c r="H18" s="41" t="inlineStr">
        <is>
          <t>New York</t>
        </is>
      </c>
      <c r="I18" s="41" t="inlineStr">
        <is>
          <t>Regulator-published</t>
        </is>
      </c>
      <c r="J18" s="44" t="inlineStr">
        <is>
          <t>Primary source</t>
        </is>
      </c>
      <c r="K18" s="43" t="n">
        <v>46295</v>
      </c>
      <c r="L18" s="41" t="n"/>
    </row>
    <row r="19" ht="35.05" customHeight="1" s="29">
      <c r="A19" s="41" t="inlineStr">
        <is>
          <t>Policy changes</t>
        </is>
      </c>
      <c r="B19" s="41" t="inlineStr">
        <is>
          <t>Cancellation</t>
        </is>
      </c>
      <c r="C19" s="41" t="inlineStr">
        <is>
          <t>First 60 days for any lawful reason; afterwards only license suspension/revocation, nonpayment or fraud; 20 days' notice (15 for nonpayment) stating reason</t>
        </is>
      </c>
      <c r="D19" s="41" t="inlineStr">
        <is>
          <t>DFS</t>
        </is>
      </c>
      <c r="E19" s="41" t="inlineStr">
        <is>
          <t>NY Dept of Financial Services - Auto Insurance Information for Consumers</t>
        </is>
      </c>
      <c r="F19" s="42" t="inlineStr">
        <is>
          <t>https://www.dfs.ny.gov/consumers/auto_insurance/Auto_resource_center</t>
        </is>
      </c>
      <c r="G19" s="43" t="n">
        <v>46295</v>
      </c>
      <c r="H19" s="41" t="inlineStr">
        <is>
          <t>New York</t>
        </is>
      </c>
      <c r="I19" s="41" t="inlineStr">
        <is>
          <t>Regulator-published</t>
        </is>
      </c>
      <c r="J19" s="44" t="inlineStr">
        <is>
          <t>Primary source</t>
        </is>
      </c>
      <c r="K19" s="43" t="n">
        <v>46295</v>
      </c>
      <c r="L19" s="41" t="n"/>
    </row>
    <row r="20" ht="23.85" customHeight="1" s="29">
      <c r="A20" s="41" t="inlineStr">
        <is>
          <t>Policy changes</t>
        </is>
      </c>
      <c r="B20" s="41" t="inlineStr">
        <is>
          <t>Nonrenewal</t>
        </is>
      </c>
      <c r="C20" s="41" t="inlineStr">
        <is>
          <t>45 to 60 days' advance written notice with reasons; no nonrenewal solely because the driver is 60</t>
        </is>
      </c>
      <c r="D20" s="41" t="inlineStr">
        <is>
          <t>DFS</t>
        </is>
      </c>
      <c r="E20" s="41" t="inlineStr">
        <is>
          <t>NY Dept of Financial Services - Auto Insurance Information for Consumers</t>
        </is>
      </c>
      <c r="F20" s="42" t="inlineStr">
        <is>
          <t>https://www.dfs.ny.gov/consumers/auto_insurance/Auto_resource_center</t>
        </is>
      </c>
      <c r="G20" s="43" t="n">
        <v>46295</v>
      </c>
      <c r="H20" s="41" t="inlineStr">
        <is>
          <t>New York</t>
        </is>
      </c>
      <c r="I20" s="41" t="inlineStr">
        <is>
          <t>Regulator-published</t>
        </is>
      </c>
      <c r="J20" s="44" t="inlineStr">
        <is>
          <t>Primary source</t>
        </is>
      </c>
      <c r="K20" s="43" t="n">
        <v>46295</v>
      </c>
      <c r="L20" s="41" t="n"/>
    </row>
    <row r="21" ht="23.85" customHeight="1" s="29">
      <c r="A21" s="41" t="inlineStr">
        <is>
          <t>Programs</t>
        </is>
      </c>
      <c r="B21" s="41" t="inlineStr">
        <is>
          <t>Auto Plan (NYAIP)</t>
        </is>
      </c>
      <c r="C21" s="41" t="inlineStr">
        <is>
          <t>For those declined in the voluntary market; same premium whichever insurer is assigned; insurer must keep you 3 years before nonrenewal</t>
        </is>
      </c>
      <c r="D21" s="41" t="inlineStr">
        <is>
          <t>DFS</t>
        </is>
      </c>
      <c r="E21" s="41" t="inlineStr">
        <is>
          <t>NY Dept of Financial Services - Auto Insurance Information for Consumers</t>
        </is>
      </c>
      <c r="F21" s="42" t="inlineStr">
        <is>
          <t>https://www.dfs.ny.gov/consumers/auto_insurance/Auto_resource_center</t>
        </is>
      </c>
      <c r="G21" s="43" t="n">
        <v>46295</v>
      </c>
      <c r="H21" s="41" t="inlineStr">
        <is>
          <t>New York</t>
        </is>
      </c>
      <c r="I21" s="41" t="inlineStr">
        <is>
          <t>Regulator-published</t>
        </is>
      </c>
      <c r="J21" s="44" t="inlineStr">
        <is>
          <t>Primary source</t>
        </is>
      </c>
      <c r="K21" s="43" t="n">
        <v>46295</v>
      </c>
      <c r="L21" s="41" t="n"/>
    </row>
    <row r="22" ht="23.85" customHeight="1" s="29">
      <c r="A22" s="41" t="inlineStr">
        <is>
          <t>Claims</t>
        </is>
      </c>
      <c r="B22" s="41" t="inlineStr">
        <is>
          <t>Physical damage timelines (Reg. 64)</t>
        </is>
      </c>
      <c r="C22" s="41" t="inlineStr">
        <is>
          <t>Inspect and make good-faith offer within 6 business days; pay within 5 business days of agreement; written reason if unsettled after 30 days</t>
        </is>
      </c>
      <c r="D22" s="41" t="inlineStr">
        <is>
          <t>DFS</t>
        </is>
      </c>
      <c r="E22" s="41" t="inlineStr">
        <is>
          <t>NY Dept of Financial Services - Auto Insurance Information for Consumers</t>
        </is>
      </c>
      <c r="F22" s="42" t="inlineStr">
        <is>
          <t>https://www.dfs.ny.gov/consumers/auto_insurance/Auto_resource_center</t>
        </is>
      </c>
      <c r="G22" s="43" t="n">
        <v>46295</v>
      </c>
      <c r="H22" s="41" t="inlineStr">
        <is>
          <t>New York</t>
        </is>
      </c>
      <c r="I22" s="41" t="inlineStr">
        <is>
          <t>Regulator-published</t>
        </is>
      </c>
      <c r="J22" s="44" t="inlineStr">
        <is>
          <t>Primary source</t>
        </is>
      </c>
      <c r="K22" s="43" t="n">
        <v>46295</v>
      </c>
      <c r="L22" s="41" t="n"/>
    </row>
    <row r="23" ht="23.85" customHeight="1" s="29">
      <c r="A23" s="41" t="inlineStr">
        <is>
          <t>Fees</t>
        </is>
      </c>
      <c r="B23" s="41" t="inlineStr">
        <is>
          <t>Motor vehicle law enforcement fee</t>
        </is>
      </c>
      <c r="C23" s="41" t="inlineStr">
        <is>
          <t>$10 per vehicle per year ($5 for six-month policy)</t>
        </is>
      </c>
      <c r="D23" s="41" t="inlineStr">
        <is>
          <t>DFS</t>
        </is>
      </c>
      <c r="E23" s="41" t="inlineStr">
        <is>
          <t>NY Dept of Financial Services - Auto Insurance Information for Consumers</t>
        </is>
      </c>
      <c r="F23" s="42" t="inlineStr">
        <is>
          <t>https://www.dfs.ny.gov/consumers/auto_insurance/Auto_resource_center</t>
        </is>
      </c>
      <c r="G23" s="43" t="n">
        <v>46295</v>
      </c>
      <c r="H23" s="41" t="inlineStr">
        <is>
          <t>New York</t>
        </is>
      </c>
      <c r="I23" s="41" t="inlineStr">
        <is>
          <t>Regulator-published</t>
        </is>
      </c>
      <c r="J23" s="44" t="inlineStr">
        <is>
          <t>Primary source</t>
        </is>
      </c>
      <c r="K23" s="43" t="n">
        <v>46295</v>
      </c>
      <c r="L23" s="41" t="n"/>
    </row>
  </sheetData>
  <autoFilter ref="A1:L23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www.dfs.ny.gov/consumers/auto_insurance/Auto_resource_center" r:id="rId1"/>
    <hyperlink xmlns:r="http://schemas.openxmlformats.org/officeDocument/2006/relationships" ref="F3" display="https://www.dfs.ny.gov/consumers/auto_insurance/Auto_resource_center" r:id="rId2"/>
    <hyperlink xmlns:r="http://schemas.openxmlformats.org/officeDocument/2006/relationships" ref="F4" display="https://www.dfs.ny.gov/consumers/auto_insurance/Auto_resource_center" r:id="rId3"/>
    <hyperlink xmlns:r="http://schemas.openxmlformats.org/officeDocument/2006/relationships" ref="F5" display="https://www.dfs.ny.gov/consumers/auto_insurance/Auto_resource_center" r:id="rId4"/>
    <hyperlink xmlns:r="http://schemas.openxmlformats.org/officeDocument/2006/relationships" ref="F6" display="https://www.dfs.ny.gov/consumers/auto_insurance/Auto_resource_center" r:id="rId5"/>
    <hyperlink xmlns:r="http://schemas.openxmlformats.org/officeDocument/2006/relationships" ref="F7" display="https://www.dfs.ny.gov/consumers/auto_insurance/Auto_resource_center" r:id="rId6"/>
    <hyperlink xmlns:r="http://schemas.openxmlformats.org/officeDocument/2006/relationships" ref="F8" display="https://www.dfs.ny.gov/consumers/auto_insurance/Auto_resource_center" r:id="rId7"/>
    <hyperlink xmlns:r="http://schemas.openxmlformats.org/officeDocument/2006/relationships" ref="F9" display="https://www.dfs.ny.gov/faqs/consumer-auto/how-much-auto-insurance-must-i-carry" r:id="rId8"/>
    <hyperlink xmlns:r="http://schemas.openxmlformats.org/officeDocument/2006/relationships" ref="F10" display="https://www.dfs.ny.gov/consumers/auto_insurance/Auto_resource_center" r:id="rId9"/>
    <hyperlink xmlns:r="http://schemas.openxmlformats.org/officeDocument/2006/relationships" ref="F11" display="https://www.dfs.ny.gov/consumers/auto_insurance/Auto_resource_center" r:id="rId10"/>
    <hyperlink xmlns:r="http://schemas.openxmlformats.org/officeDocument/2006/relationships" ref="F12" display="https://www.dfs.ny.gov/consumers/auto_insurance/Auto_resource_center" r:id="rId11"/>
    <hyperlink xmlns:r="http://schemas.openxmlformats.org/officeDocument/2006/relationships" ref="F13" display="https://www.dfs.ny.gov/consumers/auto_insurance/Auto_resource_center" r:id="rId12"/>
    <hyperlink xmlns:r="http://schemas.openxmlformats.org/officeDocument/2006/relationships" ref="F14" display="https://www.dfs.ny.gov/consumers/auto_insurance/Auto_resource_center" r:id="rId13"/>
    <hyperlink xmlns:r="http://schemas.openxmlformats.org/officeDocument/2006/relationships" ref="F15" display="https://www.dfs.ny.gov/consumers/auto_insurance/Auto_resource_center" r:id="rId14"/>
    <hyperlink xmlns:r="http://schemas.openxmlformats.org/officeDocument/2006/relationships" ref="F16" display="https://www.dfs.ny.gov/consumers/auto_insurance/Auto_resource_center" r:id="rId15"/>
    <hyperlink xmlns:r="http://schemas.openxmlformats.org/officeDocument/2006/relationships" ref="F17" display="https://www.dfs.ny.gov/consumers/auto_insurance/Auto_resource_center" r:id="rId16"/>
    <hyperlink xmlns:r="http://schemas.openxmlformats.org/officeDocument/2006/relationships" ref="F18" display="https://www.dfs.ny.gov/consumers/auto_insurance/Auto_resource_center" r:id="rId17"/>
    <hyperlink xmlns:r="http://schemas.openxmlformats.org/officeDocument/2006/relationships" ref="F19" display="https://www.dfs.ny.gov/consumers/auto_insurance/Auto_resource_center" r:id="rId18"/>
    <hyperlink xmlns:r="http://schemas.openxmlformats.org/officeDocument/2006/relationships" ref="F20" display="https://www.dfs.ny.gov/consumers/auto_insurance/Auto_resource_center" r:id="rId19"/>
    <hyperlink xmlns:r="http://schemas.openxmlformats.org/officeDocument/2006/relationships" ref="F21" display="https://www.dfs.ny.gov/consumers/auto_insurance/Auto_resource_center" r:id="rId20"/>
    <hyperlink xmlns:r="http://schemas.openxmlformats.org/officeDocument/2006/relationships" ref="F22" display="https://www.dfs.ny.gov/consumers/auto_insurance/Auto_resource_center" r:id="rId21"/>
    <hyperlink xmlns:r="http://schemas.openxmlformats.org/officeDocument/2006/relationships" ref="F23" display="https://www.dfs.ny.gov/consumers/auto_insurance/Auto_resource_center" r:id="rId2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8" min="1" max="1"/>
    <col width="34" customWidth="1" style="28" min="2" max="2"/>
    <col width="60" customWidth="1" style="28" min="3" max="3"/>
    <col width="34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8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Coverage</t>
        </is>
      </c>
      <c r="B2" s="41" t="inlineStr">
        <is>
          <t>Standard coverages</t>
        </is>
      </c>
      <c r="C2" s="41" t="inlineStr">
        <is>
          <t>Most Texas home policies include six coverages; dwelling coverage pays if the house is damaged or destroyed by a covered peril</t>
        </is>
      </c>
      <c r="D2" s="41" t="inlineStr">
        <is>
          <t>TDI home guide (CB025)</t>
        </is>
      </c>
      <c r="E2" s="41" t="inlineStr">
        <is>
          <t>Texas Dept of Insurance - Home insurance guide (CB025)</t>
        </is>
      </c>
      <c r="F2" s="42" t="inlineStr">
        <is>
          <t>https://www.tdi.texas.gov/pubs/consumer/cb025.html</t>
        </is>
      </c>
      <c r="G2" s="43" t="n">
        <v>46295</v>
      </c>
      <c r="H2" s="41" t="inlineStr">
        <is>
          <t>Texas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n"/>
    </row>
    <row r="3" ht="23.85" customHeight="1" s="29">
      <c r="A3" s="41" t="inlineStr">
        <is>
          <t>Settlement</t>
        </is>
      </c>
      <c r="B3" s="41" t="inlineStr">
        <is>
          <t>Replacement cost vs actual cash value</t>
        </is>
      </c>
      <c r="C3" s="41" t="inlineStr">
        <is>
          <t>Replacement cost pays current repair or rebuild cost; actual cash value pays replacement cost minus depreciation and costs less</t>
        </is>
      </c>
      <c r="D3" s="41" t="inlineStr">
        <is>
          <t>TDI home insurance page</t>
        </is>
      </c>
      <c r="E3" s="41" t="inlineStr">
        <is>
          <t>Texas Dept of Insurance - Home insurance guide (CB025)</t>
        </is>
      </c>
      <c r="F3" s="42" t="inlineStr">
        <is>
          <t>https://www.tdi.texas.gov/pubs/consumer/cb025.html</t>
        </is>
      </c>
      <c r="G3" s="43" t="n">
        <v>46295</v>
      </c>
      <c r="H3" s="41" t="inlineStr">
        <is>
          <t>Texas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n"/>
    </row>
    <row r="4" ht="23.85" customHeight="1" s="29">
      <c r="A4" s="41" t="inlineStr">
        <is>
          <t>Liability</t>
        </is>
      </c>
      <c r="B4" s="41" t="inlineStr">
        <is>
          <t>Personal liability</t>
        </is>
      </c>
      <c r="C4" s="41" t="inlineStr">
        <is>
          <t>Home policies include liability protection with a limited amount; a separate umbrella policy can add more</t>
        </is>
      </c>
      <c r="D4" s="41" t="inlineStr">
        <is>
          <t>TDI home guide</t>
        </is>
      </c>
      <c r="E4" s="41" t="inlineStr">
        <is>
          <t>Texas Dept of Insurance - Home insurance guide (CB025)</t>
        </is>
      </c>
      <c r="F4" s="42" t="inlineStr">
        <is>
          <t>https://www.tdi.texas.gov/pubs/consumer/cb025.html</t>
        </is>
      </c>
      <c r="G4" s="43" t="n">
        <v>46295</v>
      </c>
      <c r="H4" s="41" t="inlineStr">
        <is>
          <t>Texas</t>
        </is>
      </c>
      <c r="I4" s="41" t="inlineStr">
        <is>
          <t>Regulator-published</t>
        </is>
      </c>
      <c r="J4" s="44" t="inlineStr">
        <is>
          <t>Primary source</t>
        </is>
      </c>
      <c r="K4" s="43" t="n">
        <v>46295</v>
      </c>
      <c r="L4" s="41" t="n"/>
    </row>
    <row r="5" ht="23.85" customHeight="1" s="29">
      <c r="A5" s="41" t="inlineStr">
        <is>
          <t>Flood</t>
        </is>
      </c>
      <c r="B5" s="41" t="inlineStr">
        <is>
          <t>Is flood covered?</t>
        </is>
      </c>
      <c r="C5" s="41" t="inlineStr">
        <is>
          <t>No. A separate flood policy is needed, from an insurer or the National Flood Insurance Program</t>
        </is>
      </c>
      <c r="D5" s="41" t="inlineStr">
        <is>
          <t>TDI flood page</t>
        </is>
      </c>
      <c r="E5" s="41" t="inlineStr">
        <is>
          <t>Texas Dept of Insurance - Home insurance guide (CB025)</t>
        </is>
      </c>
      <c r="F5" s="42" t="inlineStr">
        <is>
          <t>https://www.tdi.texas.gov/pubs/consumer/cb025.html</t>
        </is>
      </c>
      <c r="G5" s="43" t="n">
        <v>46295</v>
      </c>
      <c r="H5" s="41" t="inlineStr">
        <is>
          <t>Texas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n"/>
    </row>
    <row r="6" ht="23.85" customHeight="1" s="29">
      <c r="A6" s="41" t="inlineStr">
        <is>
          <t>Flood</t>
        </is>
      </c>
      <c r="B6" s="41" t="inlineStr">
        <is>
          <t>Waiting period</t>
        </is>
      </c>
      <c r="C6" s="41" t="inlineStr">
        <is>
          <t>NFIP policies take effect 30 days after purchase unless bought for a new home purchase</t>
        </is>
      </c>
      <c r="D6" s="41" t="inlineStr">
        <is>
          <t>TDI blog</t>
        </is>
      </c>
      <c r="E6" s="41" t="inlineStr">
        <is>
          <t>Texas Dept of Insurance - Home and property blog</t>
        </is>
      </c>
      <c r="F6" s="42" t="inlineStr">
        <is>
          <t>https://tdi.texas.gov/blog/category/home-property.html</t>
        </is>
      </c>
      <c r="G6" s="43" t="n">
        <v>46295</v>
      </c>
      <c r="H6" s="41" t="inlineStr">
        <is>
          <t>Texas</t>
        </is>
      </c>
      <c r="I6" s="41" t="inlineStr">
        <is>
          <t>Regulator-published</t>
        </is>
      </c>
      <c r="J6" s="44" t="inlineStr">
        <is>
          <t>Primary source</t>
        </is>
      </c>
      <c r="K6" s="43" t="n">
        <v>46295</v>
      </c>
      <c r="L6" s="41" t="n"/>
    </row>
    <row r="7" ht="23.85" customHeight="1" s="29">
      <c r="A7" s="41" t="inlineStr">
        <is>
          <t>Wind</t>
        </is>
      </c>
      <c r="B7" s="41" t="inlineStr">
        <is>
          <t>Coastal homes</t>
        </is>
      </c>
      <c r="C7" s="41" t="inlineStr">
        <is>
          <t>Home policy may not cover wind and hail on the Texas coast or in Harris County on Galveston Bay; TWIA sells wind and hail coverage</t>
        </is>
      </c>
      <c r="D7" s="41" t="inlineStr">
        <is>
          <t>TDI home guide</t>
        </is>
      </c>
      <c r="E7" s="41" t="inlineStr">
        <is>
          <t>Texas Dept of Insurance - Home insurance guide (CB025)</t>
        </is>
      </c>
      <c r="F7" s="42" t="inlineStr">
        <is>
          <t>https://www.tdi.texas.gov/pubs/consumer/cb025.html</t>
        </is>
      </c>
      <c r="G7" s="43" t="n">
        <v>46295</v>
      </c>
      <c r="H7" s="41" t="inlineStr">
        <is>
          <t>Texas</t>
        </is>
      </c>
      <c r="I7" s="41" t="inlineStr">
        <is>
          <t>Regulator-published</t>
        </is>
      </c>
      <c r="J7" s="44" t="inlineStr">
        <is>
          <t>Primary source</t>
        </is>
      </c>
      <c r="K7" s="43" t="n">
        <v>46295</v>
      </c>
      <c r="L7" s="41" t="n"/>
    </row>
    <row r="8" ht="23.85" customHeight="1" s="29">
      <c r="A8" s="41" t="inlineStr">
        <is>
          <t>Wind</t>
        </is>
      </c>
      <c r="B8" s="41" t="inlineStr">
        <is>
          <t>TWIA territory</t>
        </is>
      </c>
      <c r="C8" s="41" t="inlineStr">
        <is>
          <t>14 coastal counties and parts of Harris County east of Highway 146</t>
        </is>
      </c>
      <c r="D8" s="41" t="inlineStr">
        <is>
          <t>TDI market overview</t>
        </is>
      </c>
      <c r="E8" s="41" t="inlineStr">
        <is>
          <t>Texas Dept of Insurance - Texas homeowners insurance market overview</t>
        </is>
      </c>
      <c r="F8" s="42" t="inlineStr">
        <is>
          <t>https://www.tdi.texas.gov/general/texas-homeowners-insurance-market-overview.html</t>
        </is>
      </c>
      <c r="G8" s="43" t="n">
        <v>46295</v>
      </c>
      <c r="H8" s="41" t="inlineStr">
        <is>
          <t>Texas</t>
        </is>
      </c>
      <c r="I8" s="41" t="inlineStr">
        <is>
          <t>Regulator-published</t>
        </is>
      </c>
      <c r="J8" s="44" t="inlineStr">
        <is>
          <t>Primary source</t>
        </is>
      </c>
      <c r="K8" s="43" t="n">
        <v>46295</v>
      </c>
      <c r="L8" s="41" t="n"/>
    </row>
    <row r="9" ht="35.05" customHeight="1" s="29">
      <c r="A9" s="41" t="inlineStr">
        <is>
          <t>Wind</t>
        </is>
      </c>
      <c r="B9" s="41" t="inlineStr">
        <is>
          <t>TWIA eligibility</t>
        </is>
      </c>
      <c r="C9" s="41" t="inlineStr">
        <is>
          <t>May require flood insurance first and an engineer or windstorm inspection; flood is required when property is in a V-type flood zone and NFIP flood is available</t>
        </is>
      </c>
      <c r="D9" s="41" t="inlineStr">
        <is>
          <t>TDI home guide; TWIA</t>
        </is>
      </c>
      <c r="E9" s="41" t="inlineStr">
        <is>
          <t>TWIA - Flood insurance requirements</t>
        </is>
      </c>
      <c r="F9" s="42" t="inlineStr">
        <is>
          <t>https://www.twia.org/flood-requirement/</t>
        </is>
      </c>
      <c r="G9" s="43" t="n">
        <v>46295</v>
      </c>
      <c r="H9" s="41" t="inlineStr">
        <is>
          <t>Texas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inlineStr">
        <is>
          <t>TWIA sells wind and hail only, so a flood policy and a separate home policy are usually also needed.</t>
        </is>
      </c>
    </row>
    <row r="10" ht="23.85" customHeight="1" s="29">
      <c r="A10" s="41" t="inlineStr">
        <is>
          <t>Wind</t>
        </is>
      </c>
      <c r="B10" s="41" t="inlineStr">
        <is>
          <t>TWIA claim deadline</t>
        </is>
      </c>
      <c r="C10" s="41" t="inlineStr">
        <is>
          <t>One year from the date of damage</t>
        </is>
      </c>
      <c r="D10" s="41" t="inlineStr">
        <is>
          <t>TDI home guide</t>
        </is>
      </c>
      <c r="E10" s="41" t="inlineStr">
        <is>
          <t>Texas Dept of Insurance - Home insurance guide (CB025)</t>
        </is>
      </c>
      <c r="F10" s="42" t="inlineStr">
        <is>
          <t>https://www.tdi.texas.gov/pubs/consumer/cb025.html</t>
        </is>
      </c>
      <c r="G10" s="43" t="n">
        <v>46295</v>
      </c>
      <c r="H10" s="41" t="inlineStr">
        <is>
          <t>Texas</t>
        </is>
      </c>
      <c r="I10" s="41" t="inlineStr">
        <is>
          <t>Regulator-published</t>
        </is>
      </c>
      <c r="J10" s="44" t="inlineStr">
        <is>
          <t>Primary source</t>
        </is>
      </c>
      <c r="K10" s="43" t="n">
        <v>46295</v>
      </c>
      <c r="L10" s="41" t="n"/>
    </row>
    <row r="11" ht="23.85" customHeight="1" s="29">
      <c r="A11" s="41" t="inlineStr">
        <is>
          <t>Wind</t>
        </is>
      </c>
      <c r="B11" s="41" t="inlineStr">
        <is>
          <t>Named storm cutoff</t>
        </is>
      </c>
      <c r="C11" s="41" t="inlineStr">
        <is>
          <t>Once a named storm enters the Gulf, most insurers including TWIA stop selling new policies or making changes</t>
        </is>
      </c>
      <c r="D11" s="41" t="inlineStr">
        <is>
          <t>TDI blog</t>
        </is>
      </c>
      <c r="E11" s="41" t="inlineStr">
        <is>
          <t>Texas Dept of Insurance - Home and property blog</t>
        </is>
      </c>
      <c r="F11" s="42" t="inlineStr">
        <is>
          <t>https://tdi.texas.gov/blog/category/home-property.html</t>
        </is>
      </c>
      <c r="G11" s="43" t="n">
        <v>46295</v>
      </c>
      <c r="H11" s="41" t="inlineStr">
        <is>
          <t>Texas</t>
        </is>
      </c>
      <c r="I11" s="41" t="inlineStr">
        <is>
          <t>Regulator-published</t>
        </is>
      </c>
      <c r="J11" s="44" t="inlineStr">
        <is>
          <t>Primary source</t>
        </is>
      </c>
      <c r="K11" s="43" t="n">
        <v>46295</v>
      </c>
      <c r="L11" s="41" t="inlineStr">
        <is>
          <t>Timing matters for any 'buy now' guidance.</t>
        </is>
      </c>
    </row>
    <row r="12" ht="23.85" customHeight="1" s="29">
      <c r="A12" s="41" t="inlineStr">
        <is>
          <t>Wind</t>
        </is>
      </c>
      <c r="B12" s="41" t="inlineStr">
        <is>
          <t>TWIA maximum dwelling coverage</t>
        </is>
      </c>
      <c r="C12" s="41" t="inlineStr">
        <is>
          <t>About $1.8 million reported; one source says the Commissioner disapproved a proposed increase to $1,809,000 (TDI Order 2025-9540)</t>
        </is>
      </c>
      <c r="D12" s="41" t="inlineStr">
        <is>
          <t>Not confirmed</t>
        </is>
      </c>
      <c r="E12" s="41" t="inlineStr">
        <is>
          <t>Latent Insurance - TWIA coverage, limits and cost (Aug 2026)</t>
        </is>
      </c>
      <c r="F12" s="42" t="inlineStr">
        <is>
          <t>https://www.latentinsure.com/texas-homeowners-insurance/twia</t>
        </is>
      </c>
      <c r="G12" s="43" t="n">
        <v>46295</v>
      </c>
      <c r="H12" s="41" t="inlineStr">
        <is>
          <t>Texas</t>
        </is>
      </c>
      <c r="I12" s="41" t="inlineStr">
        <is>
          <t>Reference data (secondary source)</t>
        </is>
      </c>
      <c r="J12" s="46" t="inlineStr">
        <is>
          <t>Conflicting</t>
        </is>
      </c>
      <c r="K12" s="43" t="n">
        <v>46295</v>
      </c>
      <c r="L12" s="41" t="inlineStr">
        <is>
          <t>The two statements can both be true or the limit may differ; check TWIA's current limits.</t>
        </is>
      </c>
    </row>
    <row r="13" ht="23.85" customHeight="1" s="29">
      <c r="A13" s="41" t="inlineStr">
        <is>
          <t>Residual market</t>
        </is>
      </c>
      <c r="B13" s="41" t="inlineStr">
        <is>
          <t>FAIR Plan eligibility</t>
        </is>
      </c>
      <c r="C13" s="41" t="inlineStr">
        <is>
          <t>Texas-licensed companies will not insure you, at least two turned you down, and no company offered the same level of coverage</t>
        </is>
      </c>
      <c r="D13" s="41" t="inlineStr">
        <is>
          <t>TDI home insurance page</t>
        </is>
      </c>
      <c r="E13" s="41" t="inlineStr">
        <is>
          <t>Texas Dept of Insurance - Home insurance guide (CB025)</t>
        </is>
      </c>
      <c r="F13" s="42" t="inlineStr">
        <is>
          <t>https://www.tdi.texas.gov/pubs/consumer/cb025.html</t>
        </is>
      </c>
      <c r="G13" s="43" t="n">
        <v>46295</v>
      </c>
      <c r="H13" s="41" t="inlineStr">
        <is>
          <t>Texas</t>
        </is>
      </c>
      <c r="I13" s="41" t="inlineStr">
        <is>
          <t>Regulator-published</t>
        </is>
      </c>
      <c r="J13" s="44" t="inlineStr">
        <is>
          <t>Primary source</t>
        </is>
      </c>
      <c r="K13" s="43" t="n">
        <v>46295</v>
      </c>
      <c r="L13" s="41" t="n"/>
    </row>
    <row r="14" ht="15" customHeight="1" s="29">
      <c r="A14" s="41" t="inlineStr">
        <is>
          <t>Policy changes</t>
        </is>
      </c>
      <c r="B14" s="41" t="inlineStr">
        <is>
          <t>Nonrenewal notice</t>
        </is>
      </c>
      <c r="C14" s="41" t="inlineStr">
        <is>
          <t>Company must give 60 days' notice before the policy ends</t>
        </is>
      </c>
      <c r="D14" s="41" t="inlineStr">
        <is>
          <t>TDI blog</t>
        </is>
      </c>
      <c r="E14" s="41" t="inlineStr">
        <is>
          <t>Texas Dept of Insurance - Home and property blog</t>
        </is>
      </c>
      <c r="F14" s="42" t="inlineStr">
        <is>
          <t>https://tdi.texas.gov/blog/category/home-property.html</t>
        </is>
      </c>
      <c r="G14" s="43" t="n">
        <v>46295</v>
      </c>
      <c r="H14" s="41" t="inlineStr">
        <is>
          <t>Texas</t>
        </is>
      </c>
      <c r="I14" s="41" t="inlineStr">
        <is>
          <t>Regulator-published</t>
        </is>
      </c>
      <c r="J14" s="44" t="inlineStr">
        <is>
          <t>Primary source</t>
        </is>
      </c>
      <c r="K14" s="43" t="n">
        <v>46295</v>
      </c>
      <c r="L14" s="41" t="inlineStr">
        <is>
          <t>Undated blog; compare with the auto rule, which is date-specific.</t>
        </is>
      </c>
    </row>
    <row r="15" ht="23.85" customHeight="1" s="29">
      <c r="A15" s="41" t="inlineStr">
        <is>
          <t>Claims</t>
        </is>
      </c>
      <c r="B15" s="41" t="inlineStr">
        <is>
          <t>Public adjusters</t>
        </is>
      </c>
      <c r="C15" s="41" t="inlineStr">
        <is>
          <t>Must hold a TDI license</t>
        </is>
      </c>
      <c r="D15" s="41" t="inlineStr">
        <is>
          <t>TDI home guide</t>
        </is>
      </c>
      <c r="E15" s="41" t="inlineStr">
        <is>
          <t>Texas Dept of Insurance - Home insurance guide (CB025)</t>
        </is>
      </c>
      <c r="F15" s="42" t="inlineStr">
        <is>
          <t>https://www.tdi.texas.gov/pubs/consumer/cb025.html</t>
        </is>
      </c>
      <c r="G15" s="43" t="n">
        <v>46295</v>
      </c>
      <c r="H15" s="41" t="inlineStr">
        <is>
          <t>Texas</t>
        </is>
      </c>
      <c r="I15" s="41" t="inlineStr">
        <is>
          <t>Regulator-published</t>
        </is>
      </c>
      <c r="J15" s="44" t="inlineStr">
        <is>
          <t>Primary source</t>
        </is>
      </c>
      <c r="K15" s="43" t="n">
        <v>46295</v>
      </c>
      <c r="L15" s="41" t="n"/>
    </row>
    <row r="16" ht="23.85" customHeight="1" s="29">
      <c r="A16" s="41" t="inlineStr">
        <is>
          <t>Market</t>
        </is>
      </c>
      <c r="B16" s="41" t="inlineStr">
        <is>
          <t>Average annual homeowners premium</t>
        </is>
      </c>
      <c r="C16" s="41" t="inlineStr">
        <is>
          <t>$3,506 (preliminary 2025)</t>
        </is>
      </c>
      <c r="D16" s="41" t="inlineStr">
        <is>
          <t>TDI June 2026 market overview (as reported)</t>
        </is>
      </c>
      <c r="E16" s="41" t="inlineStr">
        <is>
          <t>Aegivra - Texas homeowners insurance guide (Jul 2026)</t>
        </is>
      </c>
      <c r="F16" s="42" t="inlineStr">
        <is>
          <t>https://aegivra.com/guides/texas-homeowners-insurance-guide</t>
        </is>
      </c>
      <c r="G16" s="43" t="n">
        <v>46295</v>
      </c>
      <c r="H16" s="41" t="inlineStr">
        <is>
          <t>Texas</t>
        </is>
      </c>
      <c r="I16" s="41" t="inlineStr">
        <is>
          <t>Reference data (secondary source)</t>
        </is>
      </c>
      <c r="J16" s="45" t="inlineStr">
        <is>
          <t>Secondary - unverified</t>
        </is>
      </c>
      <c r="K16" s="43" t="n">
        <v>46295</v>
      </c>
      <c r="L16" s="41" t="inlineStr">
        <is>
          <t>Read the TDI overview directly before using.</t>
        </is>
      </c>
    </row>
    <row r="17" ht="23.85" customHeight="1" s="29">
      <c r="A17" s="41" t="inlineStr">
        <is>
          <t>Deductible</t>
        </is>
      </c>
      <c r="B17" s="41" t="inlineStr">
        <is>
          <t>Wind/hail deductible form</t>
        </is>
      </c>
      <c r="C17" s="41" t="inlineStr">
        <is>
          <t>Usually a percentage of Coverage A; for example 2% of a $500,000 dwelling limit is $10,000</t>
        </is>
      </c>
      <c r="D17" s="41" t="inlineStr">
        <is>
          <t>Policy practice (not a statute)</t>
        </is>
      </c>
      <c r="E17" s="41" t="inlineStr">
        <is>
          <t>Aegivra - Texas homeowners insurance guide (Jul 2026)</t>
        </is>
      </c>
      <c r="F17" s="42" t="inlineStr">
        <is>
          <t>https://aegivra.com/guides/texas-homeowners-insurance-guide</t>
        </is>
      </c>
      <c r="G17" s="43" t="n">
        <v>46295</v>
      </c>
      <c r="H17" s="41" t="inlineStr">
        <is>
          <t>Texas</t>
        </is>
      </c>
      <c r="I17" s="41" t="inlineStr">
        <is>
          <t>Reference data (secondary source)</t>
        </is>
      </c>
      <c r="J17" s="45" t="inlineStr">
        <is>
          <t>Secondary - unverified</t>
        </is>
      </c>
      <c r="K17" s="43" t="n">
        <v>46295</v>
      </c>
      <c r="L17" s="41" t="inlineStr">
        <is>
          <t>Percentages vary by policy.</t>
        </is>
      </c>
    </row>
  </sheetData>
  <autoFilter ref="A1:L17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www.tdi.texas.gov/pubs/consumer/cb025.html" r:id="rId1"/>
    <hyperlink xmlns:r="http://schemas.openxmlformats.org/officeDocument/2006/relationships" ref="F3" display="https://www.tdi.texas.gov/pubs/consumer/cb025.html" r:id="rId2"/>
    <hyperlink xmlns:r="http://schemas.openxmlformats.org/officeDocument/2006/relationships" ref="F4" display="https://www.tdi.texas.gov/pubs/consumer/cb025.html" r:id="rId3"/>
    <hyperlink xmlns:r="http://schemas.openxmlformats.org/officeDocument/2006/relationships" ref="F5" display="https://www.tdi.texas.gov/pubs/consumer/cb025.html" r:id="rId4"/>
    <hyperlink xmlns:r="http://schemas.openxmlformats.org/officeDocument/2006/relationships" ref="F6" display="https://tdi.texas.gov/blog/category/home-property.html" r:id="rId5"/>
    <hyperlink xmlns:r="http://schemas.openxmlformats.org/officeDocument/2006/relationships" ref="F7" display="https://www.tdi.texas.gov/pubs/consumer/cb025.html" r:id="rId6"/>
    <hyperlink xmlns:r="http://schemas.openxmlformats.org/officeDocument/2006/relationships" ref="F8" display="https://www.tdi.texas.gov/general/texas-homeowners-insurance-market-overview.html" r:id="rId7"/>
    <hyperlink xmlns:r="http://schemas.openxmlformats.org/officeDocument/2006/relationships" ref="F9" display="https://www.twia.org/flood-requirement/" r:id="rId8"/>
    <hyperlink xmlns:r="http://schemas.openxmlformats.org/officeDocument/2006/relationships" ref="F10" display="https://www.tdi.texas.gov/pubs/consumer/cb025.html" r:id="rId9"/>
    <hyperlink xmlns:r="http://schemas.openxmlformats.org/officeDocument/2006/relationships" ref="F11" display="https://tdi.texas.gov/blog/category/home-property.html" r:id="rId10"/>
    <hyperlink xmlns:r="http://schemas.openxmlformats.org/officeDocument/2006/relationships" ref="F12" display="https://www.latentinsure.com/texas-homeowners-insurance/twia" r:id="rId11"/>
    <hyperlink xmlns:r="http://schemas.openxmlformats.org/officeDocument/2006/relationships" ref="F13" display="https://www.tdi.texas.gov/pubs/consumer/cb025.html" r:id="rId12"/>
    <hyperlink xmlns:r="http://schemas.openxmlformats.org/officeDocument/2006/relationships" ref="F14" display="https://tdi.texas.gov/blog/category/home-property.html" r:id="rId13"/>
    <hyperlink xmlns:r="http://schemas.openxmlformats.org/officeDocument/2006/relationships" ref="F15" display="https://www.tdi.texas.gov/pubs/consumer/cb025.html" r:id="rId14"/>
    <hyperlink xmlns:r="http://schemas.openxmlformats.org/officeDocument/2006/relationships" ref="F16" display="https://aegivra.com/guides/texas-homeowners-insurance-guide" r:id="rId15"/>
    <hyperlink xmlns:r="http://schemas.openxmlformats.org/officeDocument/2006/relationships" ref="F17" display="https://aegivra.com/guides/texas-homeowners-insurance-guide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8" min="1" max="1"/>
    <col width="34" customWidth="1" style="28" min="2" max="2"/>
    <col width="60" customWidth="1" style="28" min="3" max="3"/>
    <col width="34" customWidth="1" style="28" min="4" max="4"/>
    <col width="42" customWidth="1" style="28" min="5" max="5"/>
    <col width="52" customWidth="1" style="28" min="6" max="6"/>
    <col width="12" customWidth="1" style="28" min="7" max="7"/>
    <col width="20" customWidth="1" style="28" min="8" max="8"/>
    <col width="24" customWidth="1" style="28" min="9" max="9"/>
    <col width="18" customWidth="1" style="28" min="10" max="10"/>
    <col width="12" customWidth="1" style="28" min="11" max="11"/>
    <col width="58" customWidth="1" style="28" min="12" max="12"/>
  </cols>
  <sheetData>
    <row r="1" ht="31.5" customHeight="1" s="29">
      <c r="A1" s="40" t="inlineStr">
        <is>
          <t>Topic</t>
        </is>
      </c>
      <c r="B1" s="40" t="inlineStr">
        <is>
          <t>Fact</t>
        </is>
      </c>
      <c r="C1" s="40" t="inlineStr">
        <is>
          <t>Value</t>
        </is>
      </c>
      <c r="D1" s="40" t="inlineStr">
        <is>
          <t>Legal Citation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Hurricane deductible</t>
        </is>
      </c>
      <c r="B2" s="41" t="inlineStr">
        <is>
          <t>Options insurers must offer</t>
        </is>
      </c>
      <c r="C2" s="41" t="inlineStr">
        <is>
          <t>$500, 2%, 5% and 10% of the policy dwelling limit before issuing a personal residential policy (unless the percentage is under $500)</t>
        </is>
      </c>
      <c r="D2" s="41" t="inlineStr">
        <is>
          <t>Fla. Stat. 627.701(3)(a)</t>
        </is>
      </c>
      <c r="E2" s="41" t="inlineStr">
        <is>
          <t>Florida Statutes 627.701 - deductibles (via FindLaw)</t>
        </is>
      </c>
      <c r="F2" s="42" t="inlineStr">
        <is>
          <t>https://codes.findlaw.com/fl/title-xxxvii-insurance/fl-st-sect-627-701/</t>
        </is>
      </c>
      <c r="G2" s="43" t="n">
        <v>46295</v>
      </c>
      <c r="H2" s="41" t="inlineStr">
        <is>
          <t>Florida</t>
        </is>
      </c>
      <c r="I2" s="41" t="inlineStr">
        <is>
          <t>Statute / regulation text</t>
        </is>
      </c>
      <c r="J2" s="44" t="inlineStr">
        <is>
          <t>Primary source</t>
        </is>
      </c>
      <c r="K2" s="43" t="n">
        <v>46295</v>
      </c>
      <c r="L2" s="41" t="inlineStr">
        <is>
          <t>Statute text seen via FindLaw snippet.</t>
        </is>
      </c>
    </row>
    <row r="3" ht="23.85" customHeight="1" s="29">
      <c r="A3" s="41" t="inlineStr">
        <is>
          <t>Hurricane deductible</t>
        </is>
      </c>
      <c r="B3" s="41" t="inlineStr">
        <is>
          <t>When it applies</t>
        </is>
      </c>
      <c r="C3" s="41" t="inlineStr">
        <is>
          <t>Begins when a hurricane warning is issued for any part of Florida; applies annually if the same insurer or group covers you</t>
        </is>
      </c>
      <c r="D3" s="41" t="inlineStr">
        <is>
          <t>Fla. Stat. 627.4025 (per DFS)</t>
        </is>
      </c>
      <c r="E3" s="41" t="inlineStr">
        <is>
          <t>Florida DFS - Florida's Hurricane Deductible</t>
        </is>
      </c>
      <c r="F3" s="42" t="inlineStr">
        <is>
          <t>https://www.myfloridacfo.com/division/consumers/consumerprotections/floridashurricanedeductible</t>
        </is>
      </c>
      <c r="G3" s="43" t="n">
        <v>46295</v>
      </c>
      <c r="H3" s="41" t="inlineStr">
        <is>
          <t>Florida</t>
        </is>
      </c>
      <c r="I3" s="41" t="inlineStr">
        <is>
          <t>Regulator-published</t>
        </is>
      </c>
      <c r="J3" s="44" t="inlineStr">
        <is>
          <t>Primary source</t>
        </is>
      </c>
      <c r="K3" s="43" t="n">
        <v>46295</v>
      </c>
      <c r="L3" s="41" t="inlineStr">
        <is>
          <t>A secondary source says it ends 72 hours after the last watch or warning ends.</t>
        </is>
      </c>
    </row>
    <row r="4" ht="23.85" customHeight="1" s="29">
      <c r="A4" s="41" t="inlineStr">
        <is>
          <t>Hurricane deductible</t>
        </is>
      </c>
      <c r="B4" s="41" t="inlineStr">
        <is>
          <t>Separate from other perils</t>
        </is>
      </c>
      <c r="C4" s="41" t="inlineStr">
        <is>
          <t>A percentage hurricane deductible is separate from the regular deductible; only the hurricane deductible applies to a hurricane loss</t>
        </is>
      </c>
      <c r="D4" s="41" t="inlineStr">
        <is>
          <t>DFS; secondary sources</t>
        </is>
      </c>
      <c r="E4" s="41" t="inlineStr">
        <is>
          <t>Florida DFS - Florida's Hurricane Deductible</t>
        </is>
      </c>
      <c r="F4" s="42" t="inlineStr">
        <is>
          <t>https://www.myfloridacfo.com/division/consumers/consumerprotections/floridashurricanedeductible</t>
        </is>
      </c>
      <c r="G4" s="43" t="n">
        <v>46295</v>
      </c>
      <c r="H4" s="41" t="inlineStr">
        <is>
          <t>Florida</t>
        </is>
      </c>
      <c r="I4" s="41" t="inlineStr">
        <is>
          <t>Regulator-published</t>
        </is>
      </c>
      <c r="J4" s="44" t="inlineStr">
        <is>
          <t>Primary source</t>
        </is>
      </c>
      <c r="K4" s="43" t="n">
        <v>46295</v>
      </c>
      <c r="L4" s="41" t="inlineStr">
        <is>
          <t>Example: 2% of a $340,000 dwelling limit is $6,800 (Coverage Classroom).</t>
        </is>
      </c>
    </row>
    <row r="5" ht="23.85" customHeight="1" s="29">
      <c r="A5" s="41" t="inlineStr">
        <is>
          <t>Wind coverage</t>
        </is>
      </c>
      <c r="B5" s="41" t="inlineStr">
        <is>
          <t>Windstorm exclusion</t>
        </is>
      </c>
      <c r="C5" s="41" t="inlineStr">
        <is>
          <t>Authorized insurers (not surplus lines) must make a windstorm exclusion available</t>
        </is>
      </c>
      <c r="D5" s="41" t="inlineStr">
        <is>
          <t>Fla. Stat. 627.712 (per DFS)</t>
        </is>
      </c>
      <c r="E5" s="41" t="inlineStr">
        <is>
          <t>Florida DFS - Florida's Hurricane Deductible</t>
        </is>
      </c>
      <c r="F5" s="42" t="inlineStr">
        <is>
          <t>https://www.myfloridacfo.com/division/consumers/consumerprotections/floridashurricanedeductible</t>
        </is>
      </c>
      <c r="G5" s="43" t="n">
        <v>46295</v>
      </c>
      <c r="H5" s="41" t="inlineStr">
        <is>
          <t>Florida</t>
        </is>
      </c>
      <c r="I5" s="41" t="inlineStr">
        <is>
          <t>Regulator-published</t>
        </is>
      </c>
      <c r="J5" s="44" t="inlineStr">
        <is>
          <t>Primary source</t>
        </is>
      </c>
      <c r="K5" s="43" t="n">
        <v>46295</v>
      </c>
      <c r="L5" s="41" t="n"/>
    </row>
    <row r="6" ht="23.85" customHeight="1" s="29">
      <c r="A6" s="41" t="inlineStr">
        <is>
          <t>Wind coverage</t>
        </is>
      </c>
      <c r="B6" s="41" t="inlineStr">
        <is>
          <t>Mitigation credits</t>
        </is>
      </c>
      <c r="C6" s="41" t="inlineStr">
        <is>
          <t>When the owner has taken hurricane mitigation measures, insurer must offer a reduced hurricane deductible or a discount credit</t>
        </is>
      </c>
      <c r="D6" s="41" t="inlineStr">
        <is>
          <t>Fla. Stat. 627.701(9); 627.0629</t>
        </is>
      </c>
      <c r="E6" s="41" t="inlineStr">
        <is>
          <t>Florida Statutes 627.701 - deductibles (via FindLaw)</t>
        </is>
      </c>
      <c r="F6" s="42" t="inlineStr">
        <is>
          <t>https://codes.findlaw.com/fl/title-xxxvii-insurance/fl-st-sect-627-701/</t>
        </is>
      </c>
      <c r="G6" s="43" t="n">
        <v>46295</v>
      </c>
      <c r="H6" s="41" t="inlineStr">
        <is>
          <t>Florida</t>
        </is>
      </c>
      <c r="I6" s="41" t="inlineStr">
        <is>
          <t>Statute / regulation text</t>
        </is>
      </c>
      <c r="J6" s="44" t="inlineStr">
        <is>
          <t>Primary source</t>
        </is>
      </c>
      <c r="K6" s="43" t="n">
        <v>46295</v>
      </c>
      <c r="L6" s="41" t="inlineStr">
        <is>
          <t>Text seen is from a 2011 version; confirm current law.</t>
        </is>
      </c>
    </row>
    <row r="7" ht="23.85" customHeight="1" s="29">
      <c r="A7" s="41" t="inlineStr">
        <is>
          <t>Wind coverage</t>
        </is>
      </c>
      <c r="B7" s="41" t="inlineStr">
        <is>
          <t>Separate roof deductible</t>
        </is>
      </c>
      <c r="C7" s="41" t="inlineStr">
        <is>
          <t>Insurers may include a separate roof deductible meeting statutory conditions; policyholder may opt out at initial issuance</t>
        </is>
      </c>
      <c r="D7" s="41" t="inlineStr">
        <is>
          <t>Fla. Stat. 627.701(10)</t>
        </is>
      </c>
      <c r="E7" s="41" t="inlineStr">
        <is>
          <t>Florida Statutes 627.701 - deductibles (via FindLaw)</t>
        </is>
      </c>
      <c r="F7" s="42" t="inlineStr">
        <is>
          <t>https://codes.findlaw.com/fl/title-xxxvii-insurance/fl-st-sect-627-701/</t>
        </is>
      </c>
      <c r="G7" s="43" t="n">
        <v>46295</v>
      </c>
      <c r="H7" s="41" t="inlineStr">
        <is>
          <t>Florida</t>
        </is>
      </c>
      <c r="I7" s="41" t="inlineStr">
        <is>
          <t>Statute / regulation text</t>
        </is>
      </c>
      <c r="J7" s="44" t="inlineStr">
        <is>
          <t>Primary source</t>
        </is>
      </c>
      <c r="K7" s="43" t="n">
        <v>46295</v>
      </c>
      <c r="L7" s="41" t="inlineStr">
        <is>
          <t>Conditions were truncated in the snippet; read the statute.</t>
        </is>
      </c>
    </row>
    <row r="8" ht="23.85" customHeight="1" s="29">
      <c r="A8" s="41" t="inlineStr">
        <is>
          <t>Flood</t>
        </is>
      </c>
      <c r="B8" s="41" t="inlineStr">
        <is>
          <t>Is flood covered?</t>
        </is>
      </c>
      <c r="C8" s="41" t="inlineStr">
        <is>
          <t>No. Homeowners policies exclude flood and Citizens may not insure flood</t>
        </is>
      </c>
      <c r="D8" s="41" t="inlineStr">
        <is>
          <t>Fla. Stat. 627.715 (per secondary source)</t>
        </is>
      </c>
      <c r="E8" s="41" t="inlineStr">
        <is>
          <t>Coverage Classroom - Hurricane insurance in Florida</t>
        </is>
      </c>
      <c r="F8" s="42" t="inlineStr">
        <is>
          <t>https://coverageclassroom.com/learn/hurricane-insurance-florida-guide</t>
        </is>
      </c>
      <c r="G8" s="43" t="n">
        <v>46295</v>
      </c>
      <c r="H8" s="41" t="inlineStr">
        <is>
          <t>Florida</t>
        </is>
      </c>
      <c r="I8" s="41" t="inlineStr">
        <is>
          <t>Reference data (secondary source)</t>
        </is>
      </c>
      <c r="J8" s="45" t="inlineStr">
        <is>
          <t>Secondary - unverified</t>
        </is>
      </c>
      <c r="K8" s="43" t="n">
        <v>46295</v>
      </c>
      <c r="L8" s="41" t="n"/>
    </row>
    <row r="9" ht="46.25" customHeight="1" s="29">
      <c r="A9" s="41" t="inlineStr">
        <is>
          <t>Citizens</t>
        </is>
      </c>
      <c r="B9" s="41" t="inlineStr">
        <is>
          <t>Flood requirement phase-in</t>
        </is>
      </c>
      <c r="C9" s="41" t="inlineStr">
        <is>
          <t>Citizens wind policies need separate flood coverage: $600,000+ dwelling from Jan 1, 2024; $500,000+ from Jan 1, 2025; $400,000+ from Jan 1, 2026; all remaining policies from Jan 1, 2027; policies without wind are excluded</t>
        </is>
      </c>
      <c r="D9" s="41" t="inlineStr">
        <is>
          <t>Fla. Stat. 627.351(6)(aa) (per secondary sources)</t>
        </is>
      </c>
      <c r="E9" s="41" t="inlineStr">
        <is>
          <t>Coverage Classroom - Citizens flood requirement phase-in</t>
        </is>
      </c>
      <c r="F9" s="42" t="inlineStr">
        <is>
          <t>https://coverageclassroom.com/learn/citizens-flood-insurance-requirement</t>
        </is>
      </c>
      <c r="G9" s="43" t="n">
        <v>46295</v>
      </c>
      <c r="H9" s="41" t="inlineStr">
        <is>
          <t>Florida</t>
        </is>
      </c>
      <c r="I9" s="41" t="inlineStr">
        <is>
          <t>Reference data (secondary source)</t>
        </is>
      </c>
      <c r="J9" s="45" t="inlineStr">
        <is>
          <t>Secondary - unverified</t>
        </is>
      </c>
      <c r="K9" s="43" t="n">
        <v>46295</v>
      </c>
      <c r="L9" s="41" t="inlineStr">
        <is>
          <t>Confirm on Citizens' site. Coverage Criteria/Lewis Insurance agree on the $400,000 level for 2026.</t>
        </is>
      </c>
    </row>
    <row r="10" ht="23.85" customHeight="1" s="29">
      <c r="A10" s="41" t="inlineStr">
        <is>
          <t>Citizens</t>
        </is>
      </c>
      <c r="B10" s="41" t="inlineStr">
        <is>
          <t>Eligibility price test</t>
        </is>
      </c>
      <c r="C10" s="41" t="inlineStr">
        <is>
          <t>A private offer within 20% of the Citizens rate can make the risk ineligible</t>
        </is>
      </c>
      <c r="D10" s="41" t="inlineStr">
        <is>
          <t>Fla. Stat. 627.351(6) (per secondary sources)</t>
        </is>
      </c>
      <c r="E10" s="41" t="inlineStr">
        <is>
          <t>CIG Florida - Policy updates for Florida homeowners (Apr 2026)</t>
        </is>
      </c>
      <c r="F10" s="42" t="inlineStr">
        <is>
          <t>https://www.cigflorida.com/policy-updates-for-florida-homeowners/</t>
        </is>
      </c>
      <c r="G10" s="43" t="n">
        <v>46295</v>
      </c>
      <c r="H10" s="41" t="inlineStr">
        <is>
          <t>Florida</t>
        </is>
      </c>
      <c r="I10" s="41" t="inlineStr">
        <is>
          <t>Reference data (secondary source)</t>
        </is>
      </c>
      <c r="J10" s="45" t="inlineStr">
        <is>
          <t>Secondary - unverified</t>
        </is>
      </c>
      <c r="K10" s="43" t="n">
        <v>46295</v>
      </c>
      <c r="L10" s="41" t="inlineStr">
        <is>
          <t>Three sources agree.</t>
        </is>
      </c>
    </row>
    <row r="11" ht="23.85" customHeight="1" s="29">
      <c r="A11" s="41" t="inlineStr">
        <is>
          <t>Citizens</t>
        </is>
      </c>
      <c r="B11" s="41" t="inlineStr">
        <is>
          <t>Surcharges and assessments</t>
        </is>
      </c>
      <c r="C11" s="41" t="inlineStr">
        <is>
          <t>Policyholder surcharge up to 45% and emergency assessments up to 30% on most Florida policies after a deficit</t>
        </is>
      </c>
      <c r="D11" s="41" t="inlineStr">
        <is>
          <t>Fla. Stat. 627.351(6) (per CIG)</t>
        </is>
      </c>
      <c r="E11" s="41" t="inlineStr">
        <is>
          <t>CIG Florida - Policy updates for Florida homeowners (Apr 2026)</t>
        </is>
      </c>
      <c r="F11" s="42" t="inlineStr">
        <is>
          <t>https://www.cigflorida.com/policy-updates-for-florida-homeowners/</t>
        </is>
      </c>
      <c r="G11" s="43" t="n">
        <v>46295</v>
      </c>
      <c r="H11" s="41" t="inlineStr">
        <is>
          <t>Florida</t>
        </is>
      </c>
      <c r="I11" s="41" t="inlineStr">
        <is>
          <t>Reference data (secondary source)</t>
        </is>
      </c>
      <c r="J11" s="45" t="inlineStr">
        <is>
          <t>Secondary - unverified</t>
        </is>
      </c>
      <c r="K11" s="43" t="n">
        <v>46295</v>
      </c>
      <c r="L11" s="41" t="n"/>
    </row>
    <row r="12" ht="23.85" customHeight="1" s="29">
      <c r="A12" s="41" t="inlineStr">
        <is>
          <t>Citizens</t>
        </is>
      </c>
      <c r="B12" s="41" t="inlineStr">
        <is>
          <t>Size</t>
        </is>
      </c>
      <c r="C12" s="41" t="inlineStr">
        <is>
          <t>1.93% of the statewide homeowners market and 57.33% of the wind-only market as of Mar 31, 2026</t>
        </is>
      </c>
      <c r="D12" s="41" t="inlineStr">
        <is>
          <t>OIR data (per Coverage Classroom)</t>
        </is>
      </c>
      <c r="E12" s="41" t="inlineStr">
        <is>
          <t>Coverage Classroom - Citizens flood requirement phase-in</t>
        </is>
      </c>
      <c r="F12" s="42" t="inlineStr">
        <is>
          <t>https://coverageclassroom.com/learn/citizens-flood-insurance-requirement</t>
        </is>
      </c>
      <c r="G12" s="43" t="n">
        <v>46295</v>
      </c>
      <c r="H12" s="41" t="inlineStr">
        <is>
          <t>Florida</t>
        </is>
      </c>
      <c r="I12" s="41" t="inlineStr">
        <is>
          <t>Reference data (secondary source)</t>
        </is>
      </c>
      <c r="J12" s="45" t="inlineStr">
        <is>
          <t>Secondary - unverified</t>
        </is>
      </c>
      <c r="K12" s="43" t="n">
        <v>46295</v>
      </c>
      <c r="L12" s="41" t="inlineStr">
        <is>
          <t>Policy counts disagree: over 1.2 million (Louis Law) vs under 400,000 (Lewis Insurance, Jan 2026).</t>
        </is>
      </c>
    </row>
    <row r="13" ht="23.85" customHeight="1" s="29">
      <c r="A13" s="41" t="inlineStr">
        <is>
          <t>Market</t>
        </is>
      </c>
      <c r="B13" s="41" t="inlineStr">
        <is>
          <t>County average premiums including wind (Mar 31, 2026)</t>
        </is>
      </c>
      <c r="C13" s="41" t="inlineStr">
        <is>
          <t>Sumter $2,105 (lowest; $1,352 without wind); Osceola $2,940</t>
        </is>
      </c>
      <c r="D13" s="41" t="inlineStr">
        <is>
          <t>OIR July 2026 report (per Coverage Classroom)</t>
        </is>
      </c>
      <c r="E13" s="41" t="inlineStr">
        <is>
          <t>Coverage Classroom - Hurricane insurance in Florida</t>
        </is>
      </c>
      <c r="F13" s="42" t="inlineStr">
        <is>
          <t>https://coverageclassroom.com/learn/hurricane-insurance-florida-guide</t>
        </is>
      </c>
      <c r="G13" s="43" t="n">
        <v>46295</v>
      </c>
      <c r="H13" s="41" t="inlineStr">
        <is>
          <t>Florida</t>
        </is>
      </c>
      <c r="I13" s="41" t="inlineStr">
        <is>
          <t>Reference data (secondary source)</t>
        </is>
      </c>
      <c r="J13" s="45" t="inlineStr">
        <is>
          <t>Secondary - unverified</t>
        </is>
      </c>
      <c r="K13" s="43" t="n">
        <v>46295</v>
      </c>
      <c r="L13" s="41" t="inlineStr">
        <is>
          <t>Read the OIR report directly.</t>
        </is>
      </c>
    </row>
  </sheetData>
  <autoFilter ref="A1:L13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codes.findlaw.com/fl/title-xxxvii-insurance/fl-st-sect-627-701/" r:id="rId1"/>
    <hyperlink xmlns:r="http://schemas.openxmlformats.org/officeDocument/2006/relationships" ref="F3" display="https://www.myfloridacfo.com/division/consumers/consumerprotections/floridashurricanedeductible" r:id="rId2"/>
    <hyperlink xmlns:r="http://schemas.openxmlformats.org/officeDocument/2006/relationships" ref="F4" display="https://www.myfloridacfo.com/division/consumers/consumerprotections/floridashurricanedeductible" r:id="rId3"/>
    <hyperlink xmlns:r="http://schemas.openxmlformats.org/officeDocument/2006/relationships" ref="F5" display="https://www.myfloridacfo.com/division/consumers/consumerprotections/floridashurricanedeductible" r:id="rId4"/>
    <hyperlink xmlns:r="http://schemas.openxmlformats.org/officeDocument/2006/relationships" ref="F6" display="https://codes.findlaw.com/fl/title-xxxvii-insurance/fl-st-sect-627-701/" r:id="rId5"/>
    <hyperlink xmlns:r="http://schemas.openxmlformats.org/officeDocument/2006/relationships" ref="F7" display="https://codes.findlaw.com/fl/title-xxxvii-insurance/fl-st-sect-627-701/" r:id="rId6"/>
    <hyperlink xmlns:r="http://schemas.openxmlformats.org/officeDocument/2006/relationships" ref="F8" display="https://coverageclassroom.com/learn/hurricane-insurance-florida-guide" r:id="rId7"/>
    <hyperlink xmlns:r="http://schemas.openxmlformats.org/officeDocument/2006/relationships" ref="F9" display="https://coverageclassroom.com/learn/citizens-flood-insurance-requirement" r:id="rId8"/>
    <hyperlink xmlns:r="http://schemas.openxmlformats.org/officeDocument/2006/relationships" ref="F10" display="https://www.cigflorida.com/policy-updates-for-florida-homeowners/" r:id="rId9"/>
    <hyperlink xmlns:r="http://schemas.openxmlformats.org/officeDocument/2006/relationships" ref="F11" display="https://www.cigflorida.com/policy-updates-for-florida-homeowners/" r:id="rId10"/>
    <hyperlink xmlns:r="http://schemas.openxmlformats.org/officeDocument/2006/relationships" ref="F12" display="https://coverageclassroom.com/learn/citizens-flood-insurance-requirement" r:id="rId11"/>
    <hyperlink xmlns:r="http://schemas.openxmlformats.org/officeDocument/2006/relationships" ref="F13" display="https://coverageclassroom.com/learn/hurricane-insurance-florida-guide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P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12" customWidth="1" style="28" min="2" max="4"/>
    <col width="14" customWidth="1" style="28" min="5" max="5"/>
    <col width="28" customWidth="1" style="28" min="6" max="6"/>
    <col width="18" customWidth="1" style="28" min="7" max="7"/>
    <col width="28" customWidth="1" style="28" min="8" max="8"/>
    <col width="34" customWidth="1" style="28" min="9" max="9"/>
    <col width="42" customWidth="1" style="28" min="10" max="10"/>
    <col width="12" customWidth="1" style="28" min="11" max="11"/>
    <col width="16" customWidth="1" style="28" min="12" max="12"/>
    <col width="24" customWidth="1" style="28" min="13" max="13"/>
    <col width="20" customWidth="1" style="28" min="14" max="14"/>
    <col width="12" customWidth="1" style="28" min="15" max="15"/>
    <col width="60" customWidth="1" style="28" min="16" max="16"/>
  </cols>
  <sheetData>
    <row r="1" ht="31.5" customHeight="1" s="29">
      <c r="A1" s="40" t="inlineStr">
        <is>
          <t>State</t>
        </is>
      </c>
      <c r="B1" s="40" t="inlineStr">
        <is>
          <t>BI Per Person ($k)</t>
        </is>
      </c>
      <c r="C1" s="40" t="inlineStr">
        <is>
          <t>BI Per Accident ($k)</t>
        </is>
      </c>
      <c r="D1" s="40" t="inlineStr">
        <is>
          <t>PD ($k)</t>
        </is>
      </c>
      <c r="E1" s="40" t="inlineStr">
        <is>
          <t>Fault System</t>
        </is>
      </c>
      <c r="F1" s="40" t="inlineStr">
        <is>
          <t>PIP / MedPay</t>
        </is>
      </c>
      <c r="G1" s="40" t="inlineStr">
        <is>
          <t>UM/UIM</t>
        </is>
      </c>
      <c r="H1" s="40" t="inlineStr">
        <is>
          <t>Change Note</t>
        </is>
      </c>
      <c r="I1" s="40" t="inlineStr">
        <is>
          <t>Source</t>
        </is>
      </c>
      <c r="J1" s="40" t="inlineStr">
        <is>
          <t>Source URL</t>
        </is>
      </c>
      <c r="K1" s="40" t="inlineStr">
        <is>
          <t>Date Collected</t>
        </is>
      </c>
      <c r="L1" s="40" t="inlineStr">
        <is>
          <t>Geographic Scope</t>
        </is>
      </c>
      <c r="M1" s="40" t="inlineStr">
        <is>
          <t>Data Type</t>
        </is>
      </c>
      <c r="N1" s="40" t="inlineStr">
        <is>
          <t>Verification Status</t>
        </is>
      </c>
      <c r="O1" s="40" t="inlineStr">
        <is>
          <t>Last Updated</t>
        </is>
      </c>
      <c r="P1" s="40" t="inlineStr">
        <is>
          <t>Notes</t>
        </is>
      </c>
    </row>
    <row r="2" ht="15" customHeight="1" s="29">
      <c r="A2" s="41" t="inlineStr">
        <is>
          <t>Alabama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2" t="n"/>
      <c r="K2" s="43" t="n">
        <v>46295</v>
      </c>
      <c r="L2" s="41" t="inlineStr">
        <is>
          <t>Alabama</t>
        </is>
      </c>
      <c r="M2" s="41" t="inlineStr">
        <is>
          <t>Placeholder</t>
        </is>
      </c>
      <c r="N2" s="47" t="inlineStr">
        <is>
          <t>Not researched</t>
        </is>
      </c>
      <c r="O2" s="43" t="n">
        <v>46295</v>
      </c>
      <c r="P2" s="41" t="inlineStr">
        <is>
          <t>To research: check state DOI/DMV for current limits.</t>
        </is>
      </c>
    </row>
    <row r="3" ht="23.85" customHeight="1" s="29">
      <c r="A3" s="41" t="inlineStr">
        <is>
          <t>Alaska</t>
        </is>
      </c>
      <c r="B3" s="41" t="n">
        <v>50</v>
      </c>
      <c r="C3" s="41" t="n">
        <v>100</v>
      </c>
      <c r="D3" s="41" t="n">
        <v>25</v>
      </c>
      <c r="E3" s="41" t="n"/>
      <c r="F3" s="41" t="n"/>
      <c r="G3" s="41" t="n"/>
      <c r="H3" s="41" t="n"/>
      <c r="I3" s="41" t="inlineStr">
        <is>
          <t>Insurance Geek - Minimum limits by state (Apr 2026)</t>
        </is>
      </c>
      <c r="J3" s="42" t="inlineStr">
        <is>
          <t>https://www.insurancegeek.com/auto-insurance/state-minimum-car-insurance-limits/</t>
        </is>
      </c>
      <c r="K3" s="43" t="n">
        <v>46295</v>
      </c>
      <c r="L3" s="41" t="inlineStr">
        <is>
          <t>Alaska</t>
        </is>
      </c>
      <c r="M3" s="41" t="inlineStr">
        <is>
          <t>Reference data (secondary source)</t>
        </is>
      </c>
      <c r="N3" s="45" t="inlineStr">
        <is>
          <t>Secondary - unverified</t>
        </is>
      </c>
      <c r="O3" s="43" t="n">
        <v>46295</v>
      </c>
      <c r="P3" s="41" t="inlineStr">
        <is>
          <t>Described as among the highest minimums.</t>
        </is>
      </c>
    </row>
    <row r="4" ht="15" customHeight="1" s="29">
      <c r="A4" s="41" t="inlineStr">
        <is>
          <t>Arizona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2" t="n"/>
      <c r="K4" s="43" t="n">
        <v>46295</v>
      </c>
      <c r="L4" s="41" t="inlineStr">
        <is>
          <t>Arizona</t>
        </is>
      </c>
      <c r="M4" s="41" t="inlineStr">
        <is>
          <t>Placeholder</t>
        </is>
      </c>
      <c r="N4" s="47" t="inlineStr">
        <is>
          <t>Not researched</t>
        </is>
      </c>
      <c r="O4" s="43" t="n">
        <v>46295</v>
      </c>
      <c r="P4" s="41" t="inlineStr">
        <is>
          <t>To research: check state DOI/DMV for current limits.</t>
        </is>
      </c>
    </row>
    <row r="5" ht="15" customHeight="1" s="29">
      <c r="A5" s="41" t="inlineStr">
        <is>
          <t>Arkansas</t>
        </is>
      </c>
      <c r="B5" s="41" t="n"/>
      <c r="C5" s="41" t="n"/>
      <c r="D5" s="41" t="n"/>
      <c r="E5" s="41" t="n"/>
      <c r="F5" s="41" t="n"/>
      <c r="G5" s="41" t="n"/>
      <c r="H5" s="41" t="n"/>
      <c r="I5" s="41" t="n"/>
      <c r="J5" s="42" t="n"/>
      <c r="K5" s="43" t="n">
        <v>46295</v>
      </c>
      <c r="L5" s="41" t="inlineStr">
        <is>
          <t>Arkansas</t>
        </is>
      </c>
      <c r="M5" s="41" t="inlineStr">
        <is>
          <t>Placeholder</t>
        </is>
      </c>
      <c r="N5" s="47" t="inlineStr">
        <is>
          <t>Not researched</t>
        </is>
      </c>
      <c r="O5" s="43" t="n">
        <v>46295</v>
      </c>
      <c r="P5" s="41" t="inlineStr">
        <is>
          <t>To research: check state DOI/DMV for current limits.</t>
        </is>
      </c>
    </row>
    <row r="6" ht="46.25" customHeight="1" s="29">
      <c r="A6" s="41" t="inlineStr">
        <is>
          <t>California</t>
        </is>
      </c>
      <c r="B6" s="41" t="n">
        <v>30</v>
      </c>
      <c r="C6" s="41" t="n">
        <v>60</v>
      </c>
      <c r="D6" s="41" t="n">
        <v>15</v>
      </c>
      <c r="E6" s="41" t="inlineStr">
        <is>
          <t>Comparative negligence (per CDI)</t>
        </is>
      </c>
      <c r="F6" s="41" t="inlineStr">
        <is>
          <t>MedPay optional; minimum purchasable limit $1,000 per person</t>
        </is>
      </c>
      <c r="G6" s="41" t="inlineStr">
        <is>
          <t>UM/UIM must be offered; can be declined by signed waiver</t>
        </is>
      </c>
      <c r="H6" s="41" t="inlineStr">
        <is>
          <t>SB 1107: increased limits begin 2025</t>
        </is>
      </c>
      <c r="I6" s="41" t="inlineStr">
        <is>
          <t>CA DMV - Auto Insurance Requirements (modified Jul 10, 2025)</t>
        </is>
      </c>
      <c r="J6" s="42" t="inlineStr">
        <is>
          <t>https://www.dmv.ca.gov/portal/vehicle-registration/insurance-requirements/</t>
        </is>
      </c>
      <c r="K6" s="43" t="n">
        <v>46295</v>
      </c>
      <c r="L6" s="41" t="inlineStr">
        <is>
          <t>California</t>
        </is>
      </c>
      <c r="M6" s="41" t="inlineStr">
        <is>
          <t>Reference data (secondary source)</t>
        </is>
      </c>
      <c r="N6" s="44" t="inlineStr">
        <is>
          <t>Primary source</t>
        </is>
      </c>
      <c r="O6" s="43" t="n">
        <v>46295</v>
      </c>
      <c r="P6" s="41" t="inlineStr">
        <is>
          <t>Verified on DMV and CDI pages (Insurance Code section 11580.1(b)). Policies renew at new limits (per law-firm summaries, secondary). See CA Auto Verified tab.</t>
        </is>
      </c>
    </row>
    <row r="7" ht="15" customHeight="1" s="29">
      <c r="A7" s="41" t="inlineStr">
        <is>
          <t>Colorado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  <c r="J7" s="42" t="n"/>
      <c r="K7" s="43" t="n">
        <v>46295</v>
      </c>
      <c r="L7" s="41" t="inlineStr">
        <is>
          <t>Colorado</t>
        </is>
      </c>
      <c r="M7" s="41" t="inlineStr">
        <is>
          <t>Placeholder</t>
        </is>
      </c>
      <c r="N7" s="47" t="inlineStr">
        <is>
          <t>Not researched</t>
        </is>
      </c>
      <c r="O7" s="43" t="n">
        <v>46295</v>
      </c>
      <c r="P7" s="41" t="inlineStr">
        <is>
          <t>To research: check state DOI/DMV for current limits.</t>
        </is>
      </c>
    </row>
    <row r="8" ht="15" customHeight="1" s="29">
      <c r="A8" s="41" t="inlineStr">
        <is>
          <t>Connecticut</t>
        </is>
      </c>
      <c r="B8" s="41" t="n"/>
      <c r="C8" s="41" t="n"/>
      <c r="D8" s="41" t="n"/>
      <c r="E8" s="41" t="n"/>
      <c r="F8" s="41" t="n"/>
      <c r="G8" s="41" t="n"/>
      <c r="H8" s="41" t="n"/>
      <c r="I8" s="41" t="n"/>
      <c r="J8" s="42" t="n"/>
      <c r="K8" s="43" t="n">
        <v>46295</v>
      </c>
      <c r="L8" s="41" t="inlineStr">
        <is>
          <t>Connecticut</t>
        </is>
      </c>
      <c r="M8" s="41" t="inlineStr">
        <is>
          <t>Placeholder</t>
        </is>
      </c>
      <c r="N8" s="47" t="inlineStr">
        <is>
          <t>Not researched</t>
        </is>
      </c>
      <c r="O8" s="43" t="n">
        <v>46295</v>
      </c>
      <c r="P8" s="41" t="inlineStr">
        <is>
          <t>To research: check state DOI/DMV for current limits.</t>
        </is>
      </c>
    </row>
    <row r="9" ht="15" customHeight="1" s="29">
      <c r="A9" s="41" t="inlineStr">
        <is>
          <t>Delaware</t>
        </is>
      </c>
      <c r="B9" s="41" t="n"/>
      <c r="C9" s="41" t="n"/>
      <c r="D9" s="41" t="n"/>
      <c r="E9" s="41" t="n"/>
      <c r="F9" s="41" t="n"/>
      <c r="G9" s="41" t="n"/>
      <c r="H9" s="41" t="n"/>
      <c r="I9" s="41" t="n"/>
      <c r="J9" s="42" t="n"/>
      <c r="K9" s="43" t="n">
        <v>46295</v>
      </c>
      <c r="L9" s="41" t="inlineStr">
        <is>
          <t>Delaware</t>
        </is>
      </c>
      <c r="M9" s="41" t="inlineStr">
        <is>
          <t>Placeholder</t>
        </is>
      </c>
      <c r="N9" s="47" t="inlineStr">
        <is>
          <t>Not researched</t>
        </is>
      </c>
      <c r="O9" s="43" t="n">
        <v>46295</v>
      </c>
      <c r="P9" s="41" t="inlineStr">
        <is>
          <t>To research: check state DOI/DMV for current limits.</t>
        </is>
      </c>
    </row>
    <row r="10" ht="23.85" customHeight="1" s="29">
      <c r="A10" s="41" t="inlineStr">
        <is>
          <t>District of Columbia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2" t="n"/>
      <c r="K10" s="43" t="n">
        <v>46295</v>
      </c>
      <c r="L10" s="41" t="inlineStr">
        <is>
          <t>District of Columbia</t>
        </is>
      </c>
      <c r="M10" s="41" t="inlineStr">
        <is>
          <t>Placeholder</t>
        </is>
      </c>
      <c r="N10" s="47" t="inlineStr">
        <is>
          <t>Not researched</t>
        </is>
      </c>
      <c r="O10" s="43" t="n">
        <v>46295</v>
      </c>
      <c r="P10" s="41" t="inlineStr">
        <is>
          <t>To research: check state DOI/DMV for current limits.</t>
        </is>
      </c>
    </row>
    <row r="11" ht="46.25" customHeight="1" s="29">
      <c r="A11" s="41" t="inlineStr">
        <is>
          <t>Florida</t>
        </is>
      </c>
      <c r="B11" s="41" t="inlineStr">
        <is>
          <t>None required</t>
        </is>
      </c>
      <c r="C11" s="41" t="inlineStr">
        <is>
          <t>None required</t>
        </is>
      </c>
      <c r="D11" s="41" t="n">
        <v>10</v>
      </c>
      <c r="E11" s="41" t="inlineStr">
        <is>
          <t>No-fault</t>
        </is>
      </c>
      <c r="F11" s="41" t="inlineStr">
        <is>
          <t>PIP $10,000 required (pays 80% of necessary medical expenses regardless of fault)</t>
        </is>
      </c>
      <c r="G11" s="41" t="n"/>
      <c r="H11" s="41" t="n"/>
      <c r="I11" s="41" t="inlineStr">
        <is>
          <t>Florida DHSMV - Florida Insurance Requirements</t>
        </is>
      </c>
      <c r="J11" s="42" t="inlineStr">
        <is>
          <t>https://www.flhsmv.gov/insurance/</t>
        </is>
      </c>
      <c r="K11" s="43" t="n">
        <v>46295</v>
      </c>
      <c r="L11" s="41" t="inlineStr">
        <is>
          <t>Florida</t>
        </is>
      </c>
      <c r="M11" s="41" t="inlineStr">
        <is>
          <t>Reference data (secondary source)</t>
        </is>
      </c>
      <c r="N11" s="44" t="inlineStr">
        <is>
          <t>Primary source</t>
        </is>
      </c>
      <c r="O11" s="43" t="n">
        <v>46295</v>
      </c>
      <c r="P11" s="41" t="inlineStr">
        <is>
          <t>FLHSMV: PIP and PDL required to register vehicles with 4+ wheels; BI not required for most private vehicles (taxis: 125/250/50). After a crash, the Financial Responsibility Law can require BI proof of 10/20. See FL Auto Verified.</t>
        </is>
      </c>
    </row>
    <row r="12" ht="15" customHeight="1" s="29">
      <c r="A12" s="41" t="inlineStr">
        <is>
          <t>Georgia</t>
        </is>
      </c>
      <c r="B12" s="41" t="n"/>
      <c r="C12" s="41" t="n"/>
      <c r="D12" s="41" t="n"/>
      <c r="E12" s="41" t="n"/>
      <c r="F12" s="41" t="n"/>
      <c r="G12" s="41" t="n"/>
      <c r="H12" s="41" t="n"/>
      <c r="I12" s="41" t="n"/>
      <c r="J12" s="42" t="n"/>
      <c r="K12" s="43" t="n">
        <v>46295</v>
      </c>
      <c r="L12" s="41" t="inlineStr">
        <is>
          <t>Georgia</t>
        </is>
      </c>
      <c r="M12" s="41" t="inlineStr">
        <is>
          <t>Placeholder</t>
        </is>
      </c>
      <c r="N12" s="47" t="inlineStr">
        <is>
          <t>Not researched</t>
        </is>
      </c>
      <c r="O12" s="43" t="n">
        <v>46295</v>
      </c>
      <c r="P12" s="41" t="inlineStr">
        <is>
          <t>To research: check state DOI/DMV for current limits.</t>
        </is>
      </c>
    </row>
    <row r="13" ht="23.85" customHeight="1" s="29">
      <c r="A13" s="41" t="inlineStr">
        <is>
          <t>Hawaii</t>
        </is>
      </c>
      <c r="B13" s="41" t="n">
        <v>40</v>
      </c>
      <c r="C13" s="41" t="n">
        <v>80</v>
      </c>
      <c r="D13" s="41" t="n">
        <v>20</v>
      </c>
      <c r="E13" s="41" t="n"/>
      <c r="F13" s="41" t="n"/>
      <c r="G13" s="41" t="n"/>
      <c r="H13" s="41" t="inlineStr">
        <is>
          <t>Single source says minimums rise from 20/40/10 to 40/80/20 in 2026</t>
        </is>
      </c>
      <c r="I13" s="41" t="inlineStr">
        <is>
          <t>Beach Insurance LLC - State minimums 2026</t>
        </is>
      </c>
      <c r="J13" s="42" t="inlineStr">
        <is>
          <t>https://beachinsurancellc.com/blog/state-minimum-car-insurance-requirements-for-2026-your-essential-guide</t>
        </is>
      </c>
      <c r="K13" s="43" t="n">
        <v>46295</v>
      </c>
      <c r="L13" s="41" t="inlineStr">
        <is>
          <t>Hawaii</t>
        </is>
      </c>
      <c r="M13" s="41" t="inlineStr">
        <is>
          <t>Reference data (secondary source)</t>
        </is>
      </c>
      <c r="N13" s="45" t="inlineStr">
        <is>
          <t>Secondary - unverified</t>
        </is>
      </c>
      <c r="O13" s="43" t="n">
        <v>46295</v>
      </c>
      <c r="P13" s="41" t="inlineStr">
        <is>
          <t>Only one source found for the 2026 change; verify with Hawaii Insurance Division.</t>
        </is>
      </c>
    </row>
    <row r="14" ht="15" customHeight="1" s="29">
      <c r="A14" s="41" t="inlineStr">
        <is>
          <t>Idaho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43" t="n">
        <v>46295</v>
      </c>
      <c r="L14" s="41" t="inlineStr">
        <is>
          <t>Idaho</t>
        </is>
      </c>
      <c r="M14" s="41" t="inlineStr">
        <is>
          <t>Placeholder</t>
        </is>
      </c>
      <c r="N14" s="47" t="inlineStr">
        <is>
          <t>Not researched</t>
        </is>
      </c>
      <c r="O14" s="43" t="n">
        <v>46295</v>
      </c>
      <c r="P14" s="41" t="inlineStr">
        <is>
          <t>To research: check state DOI/DMV for current limits.</t>
        </is>
      </c>
    </row>
    <row r="15" ht="15" customHeight="1" s="29">
      <c r="A15" s="41" t="inlineStr">
        <is>
          <t>Illinois</t>
        </is>
      </c>
      <c r="B15" s="41" t="n"/>
      <c r="C15" s="41" t="n"/>
      <c r="D15" s="41" t="n"/>
      <c r="E15" s="41" t="n"/>
      <c r="F15" s="41" t="n"/>
      <c r="G15" s="41" t="n"/>
      <c r="H15" s="41" t="n"/>
      <c r="I15" s="41" t="n"/>
      <c r="J15" s="42" t="n"/>
      <c r="K15" s="43" t="n">
        <v>46295</v>
      </c>
      <c r="L15" s="41" t="inlineStr">
        <is>
          <t>Illinois</t>
        </is>
      </c>
      <c r="M15" s="41" t="inlineStr">
        <is>
          <t>Placeholder</t>
        </is>
      </c>
      <c r="N15" s="47" t="inlineStr">
        <is>
          <t>Not researched</t>
        </is>
      </c>
      <c r="O15" s="43" t="n">
        <v>46295</v>
      </c>
      <c r="P15" s="41" t="inlineStr">
        <is>
          <t>To research: check state DOI/DMV for current limits.</t>
        </is>
      </c>
    </row>
    <row r="16" ht="15" customHeight="1" s="29">
      <c r="A16" s="41" t="inlineStr">
        <is>
          <t>Indiana</t>
        </is>
      </c>
      <c r="B16" s="41" t="n"/>
      <c r="C16" s="41" t="n"/>
      <c r="D16" s="41" t="n"/>
      <c r="E16" s="41" t="n"/>
      <c r="F16" s="41" t="n"/>
      <c r="G16" s="41" t="n"/>
      <c r="H16" s="41" t="n"/>
      <c r="I16" s="41" t="n"/>
      <c r="J16" s="42" t="n"/>
      <c r="K16" s="43" t="n">
        <v>46295</v>
      </c>
      <c r="L16" s="41" t="inlineStr">
        <is>
          <t>Indiana</t>
        </is>
      </c>
      <c r="M16" s="41" t="inlineStr">
        <is>
          <t>Placeholder</t>
        </is>
      </c>
      <c r="N16" s="47" t="inlineStr">
        <is>
          <t>Not researched</t>
        </is>
      </c>
      <c r="O16" s="43" t="n">
        <v>46295</v>
      </c>
      <c r="P16" s="41" t="inlineStr">
        <is>
          <t>To research: check state DOI/DMV for current limits.</t>
        </is>
      </c>
    </row>
    <row r="17" ht="23.85" customHeight="1" s="29">
      <c r="A17" s="41" t="inlineStr">
        <is>
          <t>Iowa</t>
        </is>
      </c>
      <c r="B17" s="41" t="n">
        <v>20</v>
      </c>
      <c r="C17" s="41" t="n">
        <v>40</v>
      </c>
      <c r="D17" s="41" t="n">
        <v>15</v>
      </c>
      <c r="E17" s="41" t="n"/>
      <c r="F17" s="41" t="n"/>
      <c r="G17" s="41" t="n"/>
      <c r="H17" s="41" t="n"/>
      <c r="I17" s="41" t="inlineStr">
        <is>
          <t>Coverage Criteria - Minimum auto insurance by state (Feb 2026)</t>
        </is>
      </c>
      <c r="J17" s="42" t="inlineStr">
        <is>
          <t>https://coveragecriteria.com/articles/minimum-auto-insurance-by-state</t>
        </is>
      </c>
      <c r="K17" s="43" t="n">
        <v>46295</v>
      </c>
      <c r="L17" s="41" t="inlineStr">
        <is>
          <t>Iowa</t>
        </is>
      </c>
      <c r="M17" s="41" t="inlineStr">
        <is>
          <t>Reference data (secondary source)</t>
        </is>
      </c>
      <c r="N17" s="45" t="inlineStr">
        <is>
          <t>Secondary - unverified</t>
        </is>
      </c>
      <c r="O17" s="43" t="n">
        <v>46295</v>
      </c>
      <c r="P17" s="41" t="inlineStr">
        <is>
          <t>Among the lowest bodily injury minimums.</t>
        </is>
      </c>
    </row>
    <row r="18" ht="15" customHeight="1" s="29">
      <c r="A18" s="41" t="inlineStr">
        <is>
          <t>Kansas</t>
        </is>
      </c>
      <c r="B18" s="41" t="n"/>
      <c r="C18" s="41" t="n"/>
      <c r="D18" s="41" t="n"/>
      <c r="E18" s="41" t="n"/>
      <c r="F18" s="41" t="n"/>
      <c r="G18" s="41" t="n"/>
      <c r="H18" s="41" t="n"/>
      <c r="I18" s="41" t="n"/>
      <c r="J18" s="42" t="n"/>
      <c r="K18" s="43" t="n">
        <v>46295</v>
      </c>
      <c r="L18" s="41" t="inlineStr">
        <is>
          <t>Kansas</t>
        </is>
      </c>
      <c r="M18" s="41" t="inlineStr">
        <is>
          <t>Placeholder</t>
        </is>
      </c>
      <c r="N18" s="47" t="inlineStr">
        <is>
          <t>Not researched</t>
        </is>
      </c>
      <c r="O18" s="43" t="n">
        <v>46295</v>
      </c>
      <c r="P18" s="41" t="inlineStr">
        <is>
          <t>To research: check state DOI/DMV for current limits.</t>
        </is>
      </c>
    </row>
    <row r="19" ht="23.85" customHeight="1" s="29">
      <c r="A19" s="41" t="inlineStr">
        <is>
          <t>Kentucky</t>
        </is>
      </c>
      <c r="B19" s="41" t="n">
        <v>25</v>
      </c>
      <c r="C19" s="41" t="n">
        <v>50</v>
      </c>
      <c r="D19" s="41" t="n">
        <v>25</v>
      </c>
      <c r="E19" s="41" t="n"/>
      <c r="F19" s="41" t="inlineStr">
        <is>
          <t>Basic PIP included (per source)</t>
        </is>
      </c>
      <c r="G19" s="41" t="n"/>
      <c r="H19" s="41" t="n"/>
      <c r="I19" s="41" t="inlineStr">
        <is>
          <t>AutoInsurance.org - Requirements by state</t>
        </is>
      </c>
      <c r="J19" s="42" t="inlineStr">
        <is>
          <t>https://www.autoinsurance.org/car-insurance-requirements/</t>
        </is>
      </c>
      <c r="K19" s="43" t="n">
        <v>46295</v>
      </c>
      <c r="L19" s="41" t="inlineStr">
        <is>
          <t>Kentucky</t>
        </is>
      </c>
      <c r="M19" s="41" t="inlineStr">
        <is>
          <t>Reference data (secondary source)</t>
        </is>
      </c>
      <c r="N19" s="45" t="inlineStr">
        <is>
          <t>Secondary - unverified</t>
        </is>
      </c>
      <c r="O19" s="43" t="n">
        <v>46295</v>
      </c>
      <c r="P19" s="41" t="n"/>
    </row>
    <row r="20" ht="23.85" customHeight="1" s="29">
      <c r="A20" s="41" t="inlineStr">
        <is>
          <t>Louisiana</t>
        </is>
      </c>
      <c r="B20" s="41" t="n">
        <v>15</v>
      </c>
      <c r="C20" s="41" t="n">
        <v>30</v>
      </c>
      <c r="D20" s="41" t="n">
        <v>25</v>
      </c>
      <c r="E20" s="41" t="n"/>
      <c r="F20" s="41" t="n"/>
      <c r="G20" s="41" t="n"/>
      <c r="H20" s="41" t="n"/>
      <c r="I20" s="41" t="inlineStr">
        <is>
          <t>Coverage Criteria - Minimum auto insurance by state (Feb 2026)</t>
        </is>
      </c>
      <c r="J20" s="42" t="inlineStr">
        <is>
          <t>https://coveragecriteria.com/articles/minimum-auto-insurance-by-state</t>
        </is>
      </c>
      <c r="K20" s="43" t="n">
        <v>46295</v>
      </c>
      <c r="L20" s="41" t="inlineStr">
        <is>
          <t>Louisiana</t>
        </is>
      </c>
      <c r="M20" s="41" t="inlineStr">
        <is>
          <t>Reference data (secondary source)</t>
        </is>
      </c>
      <c r="N20" s="45" t="inlineStr">
        <is>
          <t>Secondary - unverified</t>
        </is>
      </c>
      <c r="O20" s="43" t="n">
        <v>46295</v>
      </c>
      <c r="P20" s="41" t="inlineStr">
        <is>
          <t>Among the lowest bodily injury minimums.</t>
        </is>
      </c>
    </row>
    <row r="21" ht="23.85" customHeight="1" s="29">
      <c r="A21" s="41" t="inlineStr">
        <is>
          <t>Maine</t>
        </is>
      </c>
      <c r="B21" s="41" t="n">
        <v>50</v>
      </c>
      <c r="C21" s="41" t="n">
        <v>100</v>
      </c>
      <c r="D21" s="41" t="n">
        <v>25</v>
      </c>
      <c r="E21" s="41" t="n"/>
      <c r="F21" s="41" t="inlineStr">
        <is>
          <t>MedPay required (per Beach Insurance)</t>
        </is>
      </c>
      <c r="G21" s="41" t="n"/>
      <c r="H21" s="41" t="n"/>
      <c r="I21" s="41" t="inlineStr">
        <is>
          <t>Insurance Geek - Minimum limits by state (Apr 2026)</t>
        </is>
      </c>
      <c r="J21" s="42" t="inlineStr">
        <is>
          <t>https://www.insurancegeek.com/auto-insurance/state-minimum-car-insurance-limits/</t>
        </is>
      </c>
      <c r="K21" s="43" t="n">
        <v>46295</v>
      </c>
      <c r="L21" s="41" t="inlineStr">
        <is>
          <t>Maine</t>
        </is>
      </c>
      <c r="M21" s="41" t="inlineStr">
        <is>
          <t>Reference data (secondary source)</t>
        </is>
      </c>
      <c r="N21" s="45" t="inlineStr">
        <is>
          <t>Secondary - unverified</t>
        </is>
      </c>
      <c r="O21" s="43" t="n">
        <v>46295</v>
      </c>
      <c r="P21" s="41" t="n"/>
    </row>
    <row r="22" ht="15" customHeight="1" s="29">
      <c r="A22" s="41" t="inlineStr">
        <is>
          <t>Maryland</t>
        </is>
      </c>
      <c r="B22" s="41" t="n"/>
      <c r="C22" s="41" t="n"/>
      <c r="D22" s="41" t="n"/>
      <c r="E22" s="41" t="n"/>
      <c r="F22" s="41" t="n"/>
      <c r="G22" s="41" t="n"/>
      <c r="H22" s="41" t="n"/>
      <c r="I22" s="41" t="n"/>
      <c r="J22" s="42" t="n"/>
      <c r="K22" s="43" t="n">
        <v>46295</v>
      </c>
      <c r="L22" s="41" t="inlineStr">
        <is>
          <t>Maryland</t>
        </is>
      </c>
      <c r="M22" s="41" t="inlineStr">
        <is>
          <t>Placeholder</t>
        </is>
      </c>
      <c r="N22" s="47" t="inlineStr">
        <is>
          <t>Not researched</t>
        </is>
      </c>
      <c r="O22" s="43" t="n">
        <v>46295</v>
      </c>
      <c r="P22" s="41" t="inlineStr">
        <is>
          <t>To research: check state DOI/DMV for current limits.</t>
        </is>
      </c>
    </row>
    <row r="23" ht="15" customHeight="1" s="29">
      <c r="A23" s="41" t="inlineStr">
        <is>
          <t>Massachusetts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2" t="n"/>
      <c r="K23" s="43" t="n">
        <v>46295</v>
      </c>
      <c r="L23" s="41" t="inlineStr">
        <is>
          <t>Massachusetts</t>
        </is>
      </c>
      <c r="M23" s="41" t="inlineStr">
        <is>
          <t>Placeholder</t>
        </is>
      </c>
      <c r="N23" s="47" t="inlineStr">
        <is>
          <t>Not researched</t>
        </is>
      </c>
      <c r="O23" s="43" t="n">
        <v>46295</v>
      </c>
      <c r="P23" s="41" t="inlineStr">
        <is>
          <t>To research: check state DOI/DMV for current limits.</t>
        </is>
      </c>
    </row>
    <row r="24" ht="35.05" customHeight="1" s="29">
      <c r="A24" s="41" t="inlineStr">
        <is>
          <t>Michigan</t>
        </is>
      </c>
      <c r="B24" s="41" t="n">
        <v>50</v>
      </c>
      <c r="C24" s="41" t="n">
        <v>100</v>
      </c>
      <c r="D24" s="41" t="inlineStr">
        <is>
          <t>Not captured</t>
        </is>
      </c>
      <c r="E24" s="41" t="inlineStr">
        <is>
          <t>No-fault</t>
        </is>
      </c>
      <c r="F24" s="41" t="inlineStr">
        <is>
          <t>Tiered PIP; options from $50,000 up to unlimited medical (2020 reform)</t>
        </is>
      </c>
      <c r="G24" s="41" t="n"/>
      <c r="H24" s="41" t="n"/>
      <c r="I24" s="41" t="inlineStr">
        <is>
          <t>Coverage Criteria - Minimum auto insurance by state (Feb 2026)</t>
        </is>
      </c>
      <c r="J24" s="42" t="inlineStr">
        <is>
          <t>https://coveragecriteria.com/articles/minimum-auto-insurance-by-state</t>
        </is>
      </c>
      <c r="K24" s="43" t="n">
        <v>46295</v>
      </c>
      <c r="L24" s="41" t="inlineStr">
        <is>
          <t>Michigan</t>
        </is>
      </c>
      <c r="M24" s="41" t="inlineStr">
        <is>
          <t>Reference data (secondary source)</t>
        </is>
      </c>
      <c r="N24" s="45" t="inlineStr">
        <is>
          <t>Secondary - unverified</t>
        </is>
      </c>
      <c r="O24" s="43" t="n">
        <v>46295</v>
      </c>
      <c r="P24" s="41" t="inlineStr">
        <is>
          <t>PD minimum not captured; complex PIP tiers; verify with DIFS.</t>
        </is>
      </c>
    </row>
    <row r="25" ht="15" customHeight="1" s="29">
      <c r="A25" s="41" t="inlineStr">
        <is>
          <t>Minnesota</t>
        </is>
      </c>
      <c r="B25" s="41" t="n"/>
      <c r="C25" s="41" t="n"/>
      <c r="D25" s="41" t="n"/>
      <c r="E25" s="41" t="n"/>
      <c r="F25" s="41" t="n"/>
      <c r="G25" s="41" t="n"/>
      <c r="H25" s="41" t="n"/>
      <c r="I25" s="41" t="n"/>
      <c r="J25" s="42" t="n"/>
      <c r="K25" s="43" t="n">
        <v>46295</v>
      </c>
      <c r="L25" s="41" t="inlineStr">
        <is>
          <t>Minnesota</t>
        </is>
      </c>
      <c r="M25" s="41" t="inlineStr">
        <is>
          <t>Placeholder</t>
        </is>
      </c>
      <c r="N25" s="47" t="inlineStr">
        <is>
          <t>Not researched</t>
        </is>
      </c>
      <c r="O25" s="43" t="n">
        <v>46295</v>
      </c>
      <c r="P25" s="41" t="inlineStr">
        <is>
          <t>To research: check state DOI/DMV for current limits.</t>
        </is>
      </c>
    </row>
    <row r="26" ht="15" customHeight="1" s="29">
      <c r="A26" s="41" t="inlineStr">
        <is>
          <t>Mississippi</t>
        </is>
      </c>
      <c r="B26" s="41" t="n"/>
      <c r="C26" s="41" t="n"/>
      <c r="D26" s="41" t="n"/>
      <c r="E26" s="41" t="n"/>
      <c r="F26" s="41" t="n"/>
      <c r="G26" s="41" t="n"/>
      <c r="H26" s="41" t="n"/>
      <c r="I26" s="41" t="n"/>
      <c r="J26" s="42" t="n"/>
      <c r="K26" s="43" t="n">
        <v>46295</v>
      </c>
      <c r="L26" s="41" t="inlineStr">
        <is>
          <t>Mississippi</t>
        </is>
      </c>
      <c r="M26" s="41" t="inlineStr">
        <is>
          <t>Placeholder</t>
        </is>
      </c>
      <c r="N26" s="47" t="inlineStr">
        <is>
          <t>Not researched</t>
        </is>
      </c>
      <c r="O26" s="43" t="n">
        <v>46295</v>
      </c>
      <c r="P26" s="41" t="inlineStr">
        <is>
          <t>To research: check state DOI/DMV for current limits.</t>
        </is>
      </c>
    </row>
    <row r="27" ht="15" customHeight="1" s="29">
      <c r="A27" s="41" t="inlineStr">
        <is>
          <t>Missouri</t>
        </is>
      </c>
      <c r="B27" s="41" t="n"/>
      <c r="C27" s="41" t="n"/>
      <c r="D27" s="41" t="n"/>
      <c r="E27" s="41" t="n"/>
      <c r="F27" s="41" t="n"/>
      <c r="G27" s="41" t="n"/>
      <c r="H27" s="41" t="n"/>
      <c r="I27" s="41" t="n"/>
      <c r="J27" s="42" t="n"/>
      <c r="K27" s="43" t="n">
        <v>46295</v>
      </c>
      <c r="L27" s="41" t="inlineStr">
        <is>
          <t>Missouri</t>
        </is>
      </c>
      <c r="M27" s="41" t="inlineStr">
        <is>
          <t>Placeholder</t>
        </is>
      </c>
      <c r="N27" s="47" t="inlineStr">
        <is>
          <t>Not researched</t>
        </is>
      </c>
      <c r="O27" s="43" t="n">
        <v>46295</v>
      </c>
      <c r="P27" s="41" t="inlineStr">
        <is>
          <t>To research: check state DOI/DMV for current limits.</t>
        </is>
      </c>
    </row>
    <row r="28" ht="15" customHeight="1" s="29">
      <c r="A28" s="41" t="inlineStr">
        <is>
          <t>Montana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2" t="n"/>
      <c r="K28" s="43" t="n">
        <v>46295</v>
      </c>
      <c r="L28" s="41" t="inlineStr">
        <is>
          <t>Montana</t>
        </is>
      </c>
      <c r="M28" s="41" t="inlineStr">
        <is>
          <t>Placeholder</t>
        </is>
      </c>
      <c r="N28" s="47" t="inlineStr">
        <is>
          <t>Not researched</t>
        </is>
      </c>
      <c r="O28" s="43" t="n">
        <v>46295</v>
      </c>
      <c r="P28" s="41" t="inlineStr">
        <is>
          <t>To research: check state DOI/DMV for current limits.</t>
        </is>
      </c>
    </row>
    <row r="29" ht="15" customHeight="1" s="29">
      <c r="A29" s="41" t="inlineStr">
        <is>
          <t>Nebraska</t>
        </is>
      </c>
      <c r="B29" s="41" t="n"/>
      <c r="C29" s="41" t="n"/>
      <c r="D29" s="41" t="n"/>
      <c r="E29" s="41" t="n"/>
      <c r="F29" s="41" t="n"/>
      <c r="G29" s="41" t="n"/>
      <c r="H29" s="41" t="n"/>
      <c r="I29" s="41" t="n"/>
      <c r="J29" s="42" t="n"/>
      <c r="K29" s="43" t="n">
        <v>46295</v>
      </c>
      <c r="L29" s="41" t="inlineStr">
        <is>
          <t>Nebraska</t>
        </is>
      </c>
      <c r="M29" s="41" t="inlineStr">
        <is>
          <t>Placeholder</t>
        </is>
      </c>
      <c r="N29" s="47" t="inlineStr">
        <is>
          <t>Not researched</t>
        </is>
      </c>
      <c r="O29" s="43" t="n">
        <v>46295</v>
      </c>
      <c r="P29" s="41" t="inlineStr">
        <is>
          <t>To research: check state DOI/DMV for current limits.</t>
        </is>
      </c>
    </row>
    <row r="30" ht="15" customHeight="1" s="29">
      <c r="A30" s="41" t="inlineStr">
        <is>
          <t>Nevada</t>
        </is>
      </c>
      <c r="B30" s="41" t="n"/>
      <c r="C30" s="41" t="n"/>
      <c r="D30" s="41" t="n"/>
      <c r="E30" s="41" t="n"/>
      <c r="F30" s="41" t="n"/>
      <c r="G30" s="41" t="n"/>
      <c r="H30" s="41" t="n"/>
      <c r="I30" s="41" t="n"/>
      <c r="J30" s="42" t="n"/>
      <c r="K30" s="43" t="n">
        <v>46295</v>
      </c>
      <c r="L30" s="41" t="inlineStr">
        <is>
          <t>Nevada</t>
        </is>
      </c>
      <c r="M30" s="41" t="inlineStr">
        <is>
          <t>Placeholder</t>
        </is>
      </c>
      <c r="N30" s="47" t="inlineStr">
        <is>
          <t>Not researched</t>
        </is>
      </c>
      <c r="O30" s="43" t="n">
        <v>46295</v>
      </c>
      <c r="P30" s="41" t="inlineStr">
        <is>
          <t>To research: check state DOI/DMV for current limits.</t>
        </is>
      </c>
    </row>
    <row r="31" ht="23.85" customHeight="1" s="29">
      <c r="A31" s="41" t="inlineStr">
        <is>
          <t>New Hampshire</t>
        </is>
      </c>
      <c r="B31" s="41" t="inlineStr">
        <is>
          <t>No mandate</t>
        </is>
      </c>
      <c r="C31" s="41" t="inlineStr">
        <is>
          <t>No mandate</t>
        </is>
      </c>
      <c r="D31" s="41" t="inlineStr">
        <is>
          <t>No mandate</t>
        </is>
      </c>
      <c r="E31" s="41" t="n"/>
      <c r="F31" s="41" t="n"/>
      <c r="G31" s="41" t="n"/>
      <c r="H31" s="41" t="n"/>
      <c r="I31" s="41" t="inlineStr">
        <is>
          <t>CNBC Select - State minimum requirements</t>
        </is>
      </c>
      <c r="J31" s="42" t="inlineStr">
        <is>
          <t>https://www.cnbc.com/select/state-minimum-car-insurance-requirements/</t>
        </is>
      </c>
      <c r="K31" s="43" t="n">
        <v>46295</v>
      </c>
      <c r="L31" s="41" t="inlineStr">
        <is>
          <t>New Hampshire</t>
        </is>
      </c>
      <c r="M31" s="41" t="inlineStr">
        <is>
          <t>Reference data (secondary source)</t>
        </is>
      </c>
      <c r="N31" s="45" t="inlineStr">
        <is>
          <t>Secondary - unverified</t>
        </is>
      </c>
      <c r="O31" s="43" t="n">
        <v>46295</v>
      </c>
      <c r="P31" s="41" t="inlineStr">
        <is>
          <t>No blanket requirement, but proof of financial responsibility needed; 25/50/25 applies if insured.</t>
        </is>
      </c>
    </row>
    <row r="32" ht="35.05" customHeight="1" s="29">
      <c r="A32" s="41" t="inlineStr">
        <is>
          <t>New Jersey</t>
        </is>
      </c>
      <c r="B32" s="41" t="n">
        <v>35</v>
      </c>
      <c r="C32" s="41" t="n">
        <v>70</v>
      </c>
      <c r="D32" s="41" t="n">
        <v>25</v>
      </c>
      <c r="E32" s="41" t="n"/>
      <c r="F32" s="41" t="n"/>
      <c r="G32" s="41" t="inlineStr">
        <is>
          <t>UM/UIM limits also rising</t>
        </is>
      </c>
      <c r="H32" s="41" t="inlineStr">
        <is>
          <t>New limits effective Jan 1, 2026 (3 sources)</t>
        </is>
      </c>
      <c r="I32" s="41" t="inlineStr">
        <is>
          <t>CarInsurance.com - Minimum liability by state (Apr 2026)</t>
        </is>
      </c>
      <c r="J32" s="42" t="inlineStr">
        <is>
          <t>https://www.carinsurance.com/Articles/minimum-liability-car-insurance-requirements-by-state.aspx</t>
        </is>
      </c>
      <c r="K32" s="43" t="n">
        <v>46295</v>
      </c>
      <c r="L32" s="41" t="inlineStr">
        <is>
          <t>New Jersey</t>
        </is>
      </c>
      <c r="M32" s="41" t="inlineStr">
        <is>
          <t>Reference data (secondary source)</t>
        </is>
      </c>
      <c r="N32" s="46" t="inlineStr">
        <is>
          <t>Conflicting</t>
        </is>
      </c>
      <c r="O32" s="43" t="n">
        <v>46295</v>
      </c>
      <c r="P32" s="41" t="inlineStr">
        <is>
          <t>Coverage Criteria (Feb 2026) still lists older two-tier structure (Basic Policy: no BI minimum, $5K PD, $15K PIP; Standard: 15/30/5 + $15K PIP). Confirm with NJ DOBI.</t>
        </is>
      </c>
    </row>
    <row r="33" ht="15" customHeight="1" s="29">
      <c r="A33" s="41" t="inlineStr">
        <is>
          <t>New Mexico</t>
        </is>
      </c>
      <c r="B33" s="41" t="n"/>
      <c r="C33" s="41" t="n"/>
      <c r="D33" s="41" t="n"/>
      <c r="E33" s="41" t="n"/>
      <c r="F33" s="41" t="n"/>
      <c r="G33" s="41" t="n"/>
      <c r="H33" s="41" t="n"/>
      <c r="I33" s="41" t="n"/>
      <c r="J33" s="42" t="n"/>
      <c r="K33" s="43" t="n">
        <v>46295</v>
      </c>
      <c r="L33" s="41" t="inlineStr">
        <is>
          <t>New Mexico</t>
        </is>
      </c>
      <c r="M33" s="41" t="inlineStr">
        <is>
          <t>Placeholder</t>
        </is>
      </c>
      <c r="N33" s="47" t="inlineStr">
        <is>
          <t>Not researched</t>
        </is>
      </c>
      <c r="O33" s="43" t="n">
        <v>46295</v>
      </c>
      <c r="P33" s="41" t="inlineStr">
        <is>
          <t>To research: check state DOI/DMV for current limits.</t>
        </is>
      </c>
    </row>
    <row r="34" ht="46.25" customHeight="1" s="29">
      <c r="A34" s="41" t="inlineStr">
        <is>
          <t>New York</t>
        </is>
      </c>
      <c r="B34" s="41" t="n">
        <v>25</v>
      </c>
      <c r="C34" s="41" t="n">
        <v>50</v>
      </c>
      <c r="D34" s="41" t="n">
        <v>10</v>
      </c>
      <c r="E34" s="41" t="inlineStr">
        <is>
          <t>No-fault</t>
        </is>
      </c>
      <c r="F34" s="41" t="inlineStr">
        <is>
          <t>Basic no-fault $50,000 required</t>
        </is>
      </c>
      <c r="G34" s="41" t="inlineStr">
        <is>
          <t>UM required at 25/50 (NY accidents); SUM included unless declined</t>
        </is>
      </c>
      <c r="H34" s="41" t="inlineStr">
        <is>
          <t>Death limits: $50,000 per person; $100,000 for two or more</t>
        </is>
      </c>
      <c r="I34" s="41" t="inlineStr">
        <is>
          <t>NY Dept of Financial Services - Auto Insurance Information for Consumers</t>
        </is>
      </c>
      <c r="J34" s="42" t="inlineStr">
        <is>
          <t>https://www.dfs.ny.gov/consumers/auto_insurance/Auto_resource_center</t>
        </is>
      </c>
      <c r="K34" s="43" t="n">
        <v>46295</v>
      </c>
      <c r="L34" s="41" t="inlineStr">
        <is>
          <t>New York</t>
        </is>
      </c>
      <c r="M34" s="41" t="inlineStr">
        <is>
          <t>Reference data (secondary source)</t>
        </is>
      </c>
      <c r="N34" s="44" t="inlineStr">
        <is>
          <t>Primary source</t>
        </is>
      </c>
      <c r="O34" s="43" t="n">
        <v>46295</v>
      </c>
      <c r="P34" s="41" t="inlineStr">
        <is>
          <t>DFS: 25/50/10 plus $50,000 basic no-fault. See NY Auto Verified.</t>
        </is>
      </c>
    </row>
    <row r="35" ht="23.85" customHeight="1" s="29">
      <c r="A35" s="41" t="inlineStr">
        <is>
          <t>North Carolina</t>
        </is>
      </c>
      <c r="B35" s="41" t="n">
        <v>50</v>
      </c>
      <c r="C35" s="41" t="n">
        <v>100</v>
      </c>
      <c r="D35" s="41" t="n">
        <v>50</v>
      </c>
      <c r="E35" s="41" t="n"/>
      <c r="F35" s="41" t="n"/>
      <c r="G35" s="41" t="n"/>
      <c r="H35" s="41" t="inlineStr">
        <is>
          <t>Raised in 2025 per source</t>
        </is>
      </c>
      <c r="I35" s="41" t="inlineStr">
        <is>
          <t>CarInsurance.com - Minimum liability by state (Apr 2026)</t>
        </is>
      </c>
      <c r="J35" s="42" t="inlineStr">
        <is>
          <t>https://www.carinsurance.com/Articles/minimum-liability-car-insurance-requirements-by-state.aspx</t>
        </is>
      </c>
      <c r="K35" s="43" t="n">
        <v>46295</v>
      </c>
      <c r="L35" s="41" t="inlineStr">
        <is>
          <t>North Carolina</t>
        </is>
      </c>
      <c r="M35" s="41" t="inlineStr">
        <is>
          <t>Reference data (secondary source)</t>
        </is>
      </c>
      <c r="N35" s="45" t="inlineStr">
        <is>
          <t>Secondary - unverified</t>
        </is>
      </c>
      <c r="O35" s="43" t="n">
        <v>46295</v>
      </c>
      <c r="P35" s="41" t="n"/>
    </row>
    <row r="36" ht="15" customHeight="1" s="29">
      <c r="A36" s="41" t="inlineStr">
        <is>
          <t>North Dakota</t>
        </is>
      </c>
      <c r="B36" s="41" t="n"/>
      <c r="C36" s="41" t="n"/>
      <c r="D36" s="41" t="n"/>
      <c r="E36" s="41" t="n"/>
      <c r="F36" s="41" t="n"/>
      <c r="G36" s="41" t="n"/>
      <c r="H36" s="41" t="n"/>
      <c r="I36" s="41" t="n"/>
      <c r="J36" s="42" t="n"/>
      <c r="K36" s="43" t="n">
        <v>46295</v>
      </c>
      <c r="L36" s="41" t="inlineStr">
        <is>
          <t>North Dakota</t>
        </is>
      </c>
      <c r="M36" s="41" t="inlineStr">
        <is>
          <t>Placeholder</t>
        </is>
      </c>
      <c r="N36" s="47" t="inlineStr">
        <is>
          <t>Not researched</t>
        </is>
      </c>
      <c r="O36" s="43" t="n">
        <v>46295</v>
      </c>
      <c r="P36" s="41" t="inlineStr">
        <is>
          <t>To research: check state DOI/DMV for current limits.</t>
        </is>
      </c>
    </row>
    <row r="37" ht="15" customHeight="1" s="29">
      <c r="A37" s="41" t="inlineStr">
        <is>
          <t>Ohio</t>
        </is>
      </c>
      <c r="B37" s="41" t="n"/>
      <c r="C37" s="41" t="n"/>
      <c r="D37" s="41" t="n"/>
      <c r="E37" s="41" t="n"/>
      <c r="F37" s="41" t="n"/>
      <c r="G37" s="41" t="n"/>
      <c r="H37" s="41" t="n"/>
      <c r="I37" s="41" t="n"/>
      <c r="J37" s="42" t="n"/>
      <c r="K37" s="43" t="n">
        <v>46295</v>
      </c>
      <c r="L37" s="41" t="inlineStr">
        <is>
          <t>Ohio</t>
        </is>
      </c>
      <c r="M37" s="41" t="inlineStr">
        <is>
          <t>Placeholder</t>
        </is>
      </c>
      <c r="N37" s="47" t="inlineStr">
        <is>
          <t>Not researched</t>
        </is>
      </c>
      <c r="O37" s="43" t="n">
        <v>46295</v>
      </c>
      <c r="P37" s="41" t="inlineStr">
        <is>
          <t>To research: check state DOI/DMV for current limits.</t>
        </is>
      </c>
    </row>
    <row r="38" ht="15" customHeight="1" s="29">
      <c r="A38" s="41" t="inlineStr">
        <is>
          <t>Oklahoma</t>
        </is>
      </c>
      <c r="B38" s="41" t="n"/>
      <c r="C38" s="41" t="n"/>
      <c r="D38" s="41" t="n"/>
      <c r="E38" s="41" t="n"/>
      <c r="F38" s="41" t="n"/>
      <c r="G38" s="41" t="n"/>
      <c r="H38" s="41" t="n"/>
      <c r="I38" s="41" t="n"/>
      <c r="J38" s="42" t="n"/>
      <c r="K38" s="43" t="n">
        <v>46295</v>
      </c>
      <c r="L38" s="41" t="inlineStr">
        <is>
          <t>Oklahoma</t>
        </is>
      </c>
      <c r="M38" s="41" t="inlineStr">
        <is>
          <t>Placeholder</t>
        </is>
      </c>
      <c r="N38" s="47" t="inlineStr">
        <is>
          <t>Not researched</t>
        </is>
      </c>
      <c r="O38" s="43" t="n">
        <v>46295</v>
      </c>
      <c r="P38" s="41" t="inlineStr">
        <is>
          <t>To research: check state DOI/DMV for current limits.</t>
        </is>
      </c>
    </row>
    <row r="39" ht="15" customHeight="1" s="29">
      <c r="A39" s="41" t="inlineStr">
        <is>
          <t>Oregon</t>
        </is>
      </c>
      <c r="B39" s="41" t="n"/>
      <c r="C39" s="41" t="n"/>
      <c r="D39" s="41" t="n"/>
      <c r="E39" s="41" t="n"/>
      <c r="F39" s="41" t="n"/>
      <c r="G39" s="41" t="n"/>
      <c r="H39" s="41" t="n"/>
      <c r="I39" s="41" t="n"/>
      <c r="J39" s="42" t="n"/>
      <c r="K39" s="43" t="n">
        <v>46295</v>
      </c>
      <c r="L39" s="41" t="inlineStr">
        <is>
          <t>Oregon</t>
        </is>
      </c>
      <c r="M39" s="41" t="inlineStr">
        <is>
          <t>Placeholder</t>
        </is>
      </c>
      <c r="N39" s="47" t="inlineStr">
        <is>
          <t>Not researched</t>
        </is>
      </c>
      <c r="O39" s="43" t="n">
        <v>46295</v>
      </c>
      <c r="P39" s="41" t="inlineStr">
        <is>
          <t>To research: check state DOI/DMV for current limits.</t>
        </is>
      </c>
    </row>
    <row r="40" ht="23.85" customHeight="1" s="29">
      <c r="A40" s="41" t="inlineStr">
        <is>
          <t>Pennsylvania</t>
        </is>
      </c>
      <c r="B40" s="41" t="inlineStr">
        <is>
          <t>Not captured</t>
        </is>
      </c>
      <c r="C40" s="41" t="inlineStr">
        <is>
          <t>Not captured</t>
        </is>
      </c>
      <c r="D40" s="41" t="inlineStr">
        <is>
          <t>Not captured</t>
        </is>
      </c>
      <c r="E40" s="41" t="n"/>
      <c r="F40" s="41" t="inlineStr">
        <is>
          <t>MedPay required (per Beach Insurance)</t>
        </is>
      </c>
      <c r="G40" s="41" t="n"/>
      <c r="H40" s="41" t="n"/>
      <c r="I40" s="41" t="inlineStr">
        <is>
          <t>Beach Insurance LLC - State minimums 2026</t>
        </is>
      </c>
      <c r="J40" s="42" t="inlineStr">
        <is>
          <t>https://beachinsurancellc.com/blog/state-minimum-car-insurance-requirements-for-2026-your-essential-guide</t>
        </is>
      </c>
      <c r="K40" s="43" t="n">
        <v>46295</v>
      </c>
      <c r="L40" s="41" t="inlineStr">
        <is>
          <t>Pennsylvania</t>
        </is>
      </c>
      <c r="M40" s="41" t="inlineStr">
        <is>
          <t>Reference data (secondary source)</t>
        </is>
      </c>
      <c r="N40" s="45" t="inlineStr">
        <is>
          <t>Secondary - unverified</t>
        </is>
      </c>
      <c r="O40" s="43" t="n">
        <v>46295</v>
      </c>
      <c r="P40" s="41" t="inlineStr">
        <is>
          <t>Limits not captured in this research.</t>
        </is>
      </c>
    </row>
    <row r="41" ht="15" customHeight="1" s="29">
      <c r="A41" s="41" t="inlineStr">
        <is>
          <t>Rhode Island</t>
        </is>
      </c>
      <c r="B41" s="41" t="n"/>
      <c r="C41" s="41" t="n"/>
      <c r="D41" s="41" t="n"/>
      <c r="E41" s="41" t="n"/>
      <c r="F41" s="41" t="n"/>
      <c r="G41" s="41" t="n"/>
      <c r="H41" s="41" t="n"/>
      <c r="I41" s="41" t="n"/>
      <c r="J41" s="42" t="n"/>
      <c r="K41" s="43" t="n">
        <v>46295</v>
      </c>
      <c r="L41" s="41" t="inlineStr">
        <is>
          <t>Rhode Island</t>
        </is>
      </c>
      <c r="M41" s="41" t="inlineStr">
        <is>
          <t>Placeholder</t>
        </is>
      </c>
      <c r="N41" s="47" t="inlineStr">
        <is>
          <t>Not researched</t>
        </is>
      </c>
      <c r="O41" s="43" t="n">
        <v>46295</v>
      </c>
      <c r="P41" s="41" t="inlineStr">
        <is>
          <t>To research: check state DOI/DMV for current limits.</t>
        </is>
      </c>
    </row>
    <row r="42" ht="15" customHeight="1" s="29">
      <c r="A42" s="41" t="inlineStr">
        <is>
          <t>South Carolina</t>
        </is>
      </c>
      <c r="B42" s="41" t="n"/>
      <c r="C42" s="41" t="n"/>
      <c r="D42" s="41" t="n"/>
      <c r="E42" s="41" t="n"/>
      <c r="F42" s="41" t="n"/>
      <c r="G42" s="41" t="n"/>
      <c r="H42" s="41" t="n"/>
      <c r="I42" s="41" t="n"/>
      <c r="J42" s="42" t="n"/>
      <c r="K42" s="43" t="n">
        <v>46295</v>
      </c>
      <c r="L42" s="41" t="inlineStr">
        <is>
          <t>South Carolina</t>
        </is>
      </c>
      <c r="M42" s="41" t="inlineStr">
        <is>
          <t>Placeholder</t>
        </is>
      </c>
      <c r="N42" s="47" t="inlineStr">
        <is>
          <t>Not researched</t>
        </is>
      </c>
      <c r="O42" s="43" t="n">
        <v>46295</v>
      </c>
      <c r="P42" s="41" t="inlineStr">
        <is>
          <t>To research: check state DOI/DMV for current limits.</t>
        </is>
      </c>
    </row>
    <row r="43" ht="15" customHeight="1" s="29">
      <c r="A43" s="41" t="inlineStr">
        <is>
          <t>South Dakota</t>
        </is>
      </c>
      <c r="B43" s="41" t="n"/>
      <c r="C43" s="41" t="n"/>
      <c r="D43" s="41" t="n"/>
      <c r="E43" s="41" t="n"/>
      <c r="F43" s="41" t="n"/>
      <c r="G43" s="41" t="n"/>
      <c r="H43" s="41" t="n"/>
      <c r="I43" s="41" t="n"/>
      <c r="J43" s="42" t="n"/>
      <c r="K43" s="43" t="n">
        <v>46295</v>
      </c>
      <c r="L43" s="41" t="inlineStr">
        <is>
          <t>South Dakota</t>
        </is>
      </c>
      <c r="M43" s="41" t="inlineStr">
        <is>
          <t>Placeholder</t>
        </is>
      </c>
      <c r="N43" s="47" t="inlineStr">
        <is>
          <t>Not researched</t>
        </is>
      </c>
      <c r="O43" s="43" t="n">
        <v>46295</v>
      </c>
      <c r="P43" s="41" t="inlineStr">
        <is>
          <t>To research: check state DOI/DMV for current limits.</t>
        </is>
      </c>
    </row>
    <row r="44" ht="23.85" customHeight="1" s="29">
      <c r="A44" s="41" t="inlineStr">
        <is>
          <t>Tennessee</t>
        </is>
      </c>
      <c r="B44" s="41" t="n">
        <v>25</v>
      </c>
      <c r="C44" s="41" t="n">
        <v>50</v>
      </c>
      <c r="D44" s="41" t="n">
        <v>25</v>
      </c>
      <c r="E44" s="41" t="n"/>
      <c r="F44" s="41" t="n"/>
      <c r="G44" s="41" t="n"/>
      <c r="H44" s="41" t="n"/>
      <c r="I44" s="41" t="inlineStr">
        <is>
          <t>AutoInsurance.org - Requirements by state</t>
        </is>
      </c>
      <c r="J44" s="42" t="inlineStr">
        <is>
          <t>https://www.autoinsurance.org/car-insurance-requirements/</t>
        </is>
      </c>
      <c r="K44" s="43" t="n">
        <v>46295</v>
      </c>
      <c r="L44" s="41" t="inlineStr">
        <is>
          <t>Tennessee</t>
        </is>
      </c>
      <c r="M44" s="41" t="inlineStr">
        <is>
          <t>Reference data (secondary source)</t>
        </is>
      </c>
      <c r="N44" s="45" t="inlineStr">
        <is>
          <t>Secondary - unverified</t>
        </is>
      </c>
      <c r="O44" s="43" t="n">
        <v>46295</v>
      </c>
      <c r="P44" s="41" t="n"/>
    </row>
    <row r="45" ht="35.05" customHeight="1" s="29">
      <c r="A45" s="41" t="inlineStr">
        <is>
          <t>Texas</t>
        </is>
      </c>
      <c r="B45" s="41" t="n">
        <v>30</v>
      </c>
      <c r="C45" s="41" t="n">
        <v>60</v>
      </c>
      <c r="D45" s="41" t="n">
        <v>25</v>
      </c>
      <c r="E45" s="41" t="n"/>
      <c r="F45" s="41" t="inlineStr">
        <is>
          <t>PIP included in auto policies unless rejected in writing</t>
        </is>
      </c>
      <c r="G45" s="41" t="inlineStr">
        <is>
          <t>UM/UIM must be offered; can be rejected in writing</t>
        </is>
      </c>
      <c r="H45" s="41" t="n"/>
      <c r="I45" s="41" t="inlineStr">
        <is>
          <t>Texas Dept of Insurance - Auto insurance guide (CB020)</t>
        </is>
      </c>
      <c r="J45" s="42" t="inlineStr">
        <is>
          <t>https://www.tdi.texas.gov/pubs/consumer/cb020.html</t>
        </is>
      </c>
      <c r="K45" s="43" t="n">
        <v>46295</v>
      </c>
      <c r="L45" s="41" t="inlineStr">
        <is>
          <t>Texas</t>
        </is>
      </c>
      <c r="M45" s="41" t="inlineStr">
        <is>
          <t>Reference data (secondary source)</t>
        </is>
      </c>
      <c r="N45" s="44" t="inlineStr">
        <is>
          <t>Primary source</t>
        </is>
      </c>
      <c r="O45" s="43" t="n">
        <v>46295</v>
      </c>
      <c r="P45" s="41" t="inlineStr">
        <is>
          <t>TDI guide. Only liability is required. See TX Auto Verified.</t>
        </is>
      </c>
    </row>
    <row r="46" ht="23.85" customHeight="1" s="29">
      <c r="A46" s="41" t="inlineStr">
        <is>
          <t>Utah</t>
        </is>
      </c>
      <c r="B46" s="41" t="n">
        <v>30</v>
      </c>
      <c r="C46" s="41" t="n">
        <v>65</v>
      </c>
      <c r="D46" s="41" t="n">
        <v>25</v>
      </c>
      <c r="E46" s="41" t="n"/>
      <c r="F46" s="41" t="n"/>
      <c r="G46" s="41" t="n"/>
      <c r="H46" s="41" t="inlineStr">
        <is>
          <t>Raised in 2025 per source</t>
        </is>
      </c>
      <c r="I46" s="41" t="inlineStr">
        <is>
          <t>CarInsurance.com - Minimum liability by state (Apr 2026)</t>
        </is>
      </c>
      <c r="J46" s="42" t="inlineStr">
        <is>
          <t>https://www.carinsurance.com/Articles/minimum-liability-car-insurance-requirements-by-state.aspx</t>
        </is>
      </c>
      <c r="K46" s="43" t="n">
        <v>46295</v>
      </c>
      <c r="L46" s="41" t="inlineStr">
        <is>
          <t>Utah</t>
        </is>
      </c>
      <c r="M46" s="41" t="inlineStr">
        <is>
          <t>Reference data (secondary source)</t>
        </is>
      </c>
      <c r="N46" s="45" t="inlineStr">
        <is>
          <t>Secondary - unverified</t>
        </is>
      </c>
      <c r="O46" s="43" t="n">
        <v>46295</v>
      </c>
      <c r="P46" s="41" t="n"/>
    </row>
    <row r="47" ht="23.85" customHeight="1" s="29">
      <c r="A47" s="41" t="inlineStr">
        <is>
          <t>Vermont</t>
        </is>
      </c>
      <c r="B47" s="41" t="n">
        <v>25</v>
      </c>
      <c r="C47" s="41" t="n">
        <v>50</v>
      </c>
      <c r="D47" s="41" t="n">
        <v>10</v>
      </c>
      <c r="E47" s="41" t="n"/>
      <c r="F47" s="41" t="n"/>
      <c r="G47" s="41" t="inlineStr">
        <is>
          <t>UM/UIM 50/100/10</t>
        </is>
      </c>
      <c r="H47" s="41" t="n"/>
      <c r="I47" s="41" t="inlineStr">
        <is>
          <t>AutoInsurance.org - Requirements by state</t>
        </is>
      </c>
      <c r="J47" s="42" t="inlineStr">
        <is>
          <t>https://www.autoinsurance.org/car-insurance-requirements/</t>
        </is>
      </c>
      <c r="K47" s="43" t="n">
        <v>46295</v>
      </c>
      <c r="L47" s="41" t="inlineStr">
        <is>
          <t>Vermont</t>
        </is>
      </c>
      <c r="M47" s="41" t="inlineStr">
        <is>
          <t>Reference data (secondary source)</t>
        </is>
      </c>
      <c r="N47" s="45" t="inlineStr">
        <is>
          <t>Secondary - unverified</t>
        </is>
      </c>
      <c r="O47" s="43" t="n">
        <v>46295</v>
      </c>
      <c r="P47" s="41" t="n"/>
    </row>
    <row r="48" ht="23.85" customHeight="1" s="29">
      <c r="A48" s="41" t="inlineStr">
        <is>
          <t>Virginia</t>
        </is>
      </c>
      <c r="B48" s="41" t="n">
        <v>50</v>
      </c>
      <c r="C48" s="41" t="n">
        <v>100</v>
      </c>
      <c r="D48" s="41" t="n">
        <v>25</v>
      </c>
      <c r="E48" s="41" t="n"/>
      <c r="F48" s="41" t="n"/>
      <c r="G48" s="41" t="n"/>
      <c r="H48" s="41" t="inlineStr">
        <is>
          <t>Effective Jan 1, 2025 per two sources</t>
        </is>
      </c>
      <c r="I48" s="41" t="inlineStr">
        <is>
          <t>CarInsurance.com - Minimum liability by state (Apr 2026)</t>
        </is>
      </c>
      <c r="J48" s="42" t="inlineStr">
        <is>
          <t>https://www.carinsurance.com/Articles/minimum-liability-car-insurance-requirements-by-state.aspx</t>
        </is>
      </c>
      <c r="K48" s="43" t="n">
        <v>46295</v>
      </c>
      <c r="L48" s="41" t="inlineStr">
        <is>
          <t>Virginia</t>
        </is>
      </c>
      <c r="M48" s="41" t="inlineStr">
        <is>
          <t>Reference data (secondary source)</t>
        </is>
      </c>
      <c r="N48" s="46" t="inlineStr">
        <is>
          <t>Conflicting</t>
        </is>
      </c>
      <c r="O48" s="43" t="n">
        <v>46295</v>
      </c>
      <c r="P48" s="41" t="inlineStr">
        <is>
          <t>Coverage Criteria says 30/60/20 effective Jan 1, 2025. Two sources agree on 50/100/25. Confirm with VA DMV.</t>
        </is>
      </c>
    </row>
    <row r="49" ht="15" customHeight="1" s="29">
      <c r="A49" s="41" t="inlineStr">
        <is>
          <t>Washington</t>
        </is>
      </c>
      <c r="B49" s="41" t="n"/>
      <c r="C49" s="41" t="n"/>
      <c r="D49" s="41" t="n"/>
      <c r="E49" s="41" t="n"/>
      <c r="F49" s="41" t="n"/>
      <c r="G49" s="41" t="n"/>
      <c r="H49" s="41" t="n"/>
      <c r="I49" s="41" t="n"/>
      <c r="J49" s="42" t="n"/>
      <c r="K49" s="43" t="n">
        <v>46295</v>
      </c>
      <c r="L49" s="41" t="inlineStr">
        <is>
          <t>Washington</t>
        </is>
      </c>
      <c r="M49" s="41" t="inlineStr">
        <is>
          <t>Placeholder</t>
        </is>
      </c>
      <c r="N49" s="47" t="inlineStr">
        <is>
          <t>Not researched</t>
        </is>
      </c>
      <c r="O49" s="43" t="n">
        <v>46295</v>
      </c>
      <c r="P49" s="41" t="inlineStr">
        <is>
          <t>To research: check state DOI/DMV for current limits.</t>
        </is>
      </c>
    </row>
    <row r="50" ht="15" customHeight="1" s="29">
      <c r="A50" s="41" t="inlineStr">
        <is>
          <t>West Virginia</t>
        </is>
      </c>
      <c r="B50" s="41" t="n"/>
      <c r="C50" s="41" t="n"/>
      <c r="D50" s="41" t="n"/>
      <c r="E50" s="41" t="n"/>
      <c r="F50" s="41" t="n"/>
      <c r="G50" s="41" t="n"/>
      <c r="H50" s="41" t="n"/>
      <c r="I50" s="41" t="n"/>
      <c r="J50" s="42" t="n"/>
      <c r="K50" s="43" t="n">
        <v>46295</v>
      </c>
      <c r="L50" s="41" t="inlineStr">
        <is>
          <t>West Virginia</t>
        </is>
      </c>
      <c r="M50" s="41" t="inlineStr">
        <is>
          <t>Placeholder</t>
        </is>
      </c>
      <c r="N50" s="47" t="inlineStr">
        <is>
          <t>Not researched</t>
        </is>
      </c>
      <c r="O50" s="43" t="n">
        <v>46295</v>
      </c>
      <c r="P50" s="41" t="inlineStr">
        <is>
          <t>To research: check state DOI/DMV for current limits.</t>
        </is>
      </c>
    </row>
    <row r="51" ht="15" customHeight="1" s="29">
      <c r="A51" s="41" t="inlineStr">
        <is>
          <t>Wisconsin</t>
        </is>
      </c>
      <c r="B51" s="41" t="n"/>
      <c r="C51" s="41" t="n"/>
      <c r="D51" s="41" t="n"/>
      <c r="E51" s="41" t="n"/>
      <c r="F51" s="41" t="n"/>
      <c r="G51" s="41" t="n"/>
      <c r="H51" s="41" t="n"/>
      <c r="I51" s="41" t="n"/>
      <c r="J51" s="42" t="n"/>
      <c r="K51" s="43" t="n">
        <v>46295</v>
      </c>
      <c r="L51" s="41" t="inlineStr">
        <is>
          <t>Wisconsin</t>
        </is>
      </c>
      <c r="M51" s="41" t="inlineStr">
        <is>
          <t>Placeholder</t>
        </is>
      </c>
      <c r="N51" s="47" t="inlineStr">
        <is>
          <t>Not researched</t>
        </is>
      </c>
      <c r="O51" s="43" t="n">
        <v>46295</v>
      </c>
      <c r="P51" s="41" t="inlineStr">
        <is>
          <t>To research: check state DOI/DMV for current limits.</t>
        </is>
      </c>
    </row>
    <row r="52" ht="15" customHeight="1" s="29">
      <c r="A52" s="41" t="inlineStr">
        <is>
          <t>Wyoming</t>
        </is>
      </c>
      <c r="B52" s="41" t="n"/>
      <c r="C52" s="41" t="n"/>
      <c r="D52" s="41" t="n"/>
      <c r="E52" s="41" t="n"/>
      <c r="F52" s="41" t="n"/>
      <c r="G52" s="41" t="n"/>
      <c r="H52" s="41" t="n"/>
      <c r="I52" s="41" t="n"/>
      <c r="J52" s="42" t="n"/>
      <c r="K52" s="43" t="n">
        <v>46295</v>
      </c>
      <c r="L52" s="41" t="inlineStr">
        <is>
          <t>Wyoming</t>
        </is>
      </c>
      <c r="M52" s="41" t="inlineStr">
        <is>
          <t>Placeholder</t>
        </is>
      </c>
      <c r="N52" s="47" t="inlineStr">
        <is>
          <t>Not researched</t>
        </is>
      </c>
      <c r="O52" s="43" t="n">
        <v>46295</v>
      </c>
      <c r="P52" s="41" t="inlineStr">
        <is>
          <t>To research: check state DOI/DMV for current limits.</t>
        </is>
      </c>
    </row>
  </sheetData>
  <autoFilter ref="A1:P52"/>
  <dataValidations count="1">
    <dataValidation sqref="N2:N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J3" display="https://www.insurancegeek.com/auto-insurance/state-minimum-car-insurance-limits/" r:id="rId1"/>
    <hyperlink xmlns:r="http://schemas.openxmlformats.org/officeDocument/2006/relationships" ref="J6" display="https://www.dmv.ca.gov/portal/vehicle-registration/insurance-requirements/" r:id="rId2"/>
    <hyperlink xmlns:r="http://schemas.openxmlformats.org/officeDocument/2006/relationships" ref="J11" display="https://www.flhsmv.gov/insurance/" r:id="rId3"/>
    <hyperlink xmlns:r="http://schemas.openxmlformats.org/officeDocument/2006/relationships" ref="J13" display="https://beachinsurancellc.com/blog/state-minimum-car-insurance-requirements-for-2026-your-essential-guide" r:id="rId4"/>
    <hyperlink xmlns:r="http://schemas.openxmlformats.org/officeDocument/2006/relationships" ref="J17" display="https://coveragecriteria.com/articles/minimum-auto-insurance-by-state" r:id="rId5"/>
    <hyperlink xmlns:r="http://schemas.openxmlformats.org/officeDocument/2006/relationships" ref="J19" display="https://www.autoinsurance.org/car-insurance-requirements/" r:id="rId6"/>
    <hyperlink xmlns:r="http://schemas.openxmlformats.org/officeDocument/2006/relationships" ref="J20" display="https://coveragecriteria.com/articles/minimum-auto-insurance-by-state" r:id="rId7"/>
    <hyperlink xmlns:r="http://schemas.openxmlformats.org/officeDocument/2006/relationships" ref="J21" display="https://www.insurancegeek.com/auto-insurance/state-minimum-car-insurance-limits/" r:id="rId8"/>
    <hyperlink xmlns:r="http://schemas.openxmlformats.org/officeDocument/2006/relationships" ref="J24" display="https://coveragecriteria.com/articles/minimum-auto-insurance-by-state" r:id="rId9"/>
    <hyperlink xmlns:r="http://schemas.openxmlformats.org/officeDocument/2006/relationships" ref="J31" display="https://www.cnbc.com/select/state-minimum-car-insurance-requirements/" r:id="rId10"/>
    <hyperlink xmlns:r="http://schemas.openxmlformats.org/officeDocument/2006/relationships" ref="J32" display="https://www.carinsurance.com/Articles/minimum-liability-car-insurance-requirements-by-state.aspx" r:id="rId11"/>
    <hyperlink xmlns:r="http://schemas.openxmlformats.org/officeDocument/2006/relationships" ref="J34" display="https://www.dfs.ny.gov/consumers/auto_insurance/Auto_resource_center" r:id="rId12"/>
    <hyperlink xmlns:r="http://schemas.openxmlformats.org/officeDocument/2006/relationships" ref="J35" display="https://www.carinsurance.com/Articles/minimum-liability-car-insurance-requirements-by-state.aspx" r:id="rId13"/>
    <hyperlink xmlns:r="http://schemas.openxmlformats.org/officeDocument/2006/relationships" ref="J40" display="https://beachinsurancellc.com/blog/state-minimum-car-insurance-requirements-for-2026-your-essential-guide" r:id="rId14"/>
    <hyperlink xmlns:r="http://schemas.openxmlformats.org/officeDocument/2006/relationships" ref="J44" display="https://www.autoinsurance.org/car-insurance-requirements/" r:id="rId15"/>
    <hyperlink xmlns:r="http://schemas.openxmlformats.org/officeDocument/2006/relationships" ref="J45" display="https://www.tdi.texas.gov/pubs/consumer/cb020.html" r:id="rId16"/>
    <hyperlink xmlns:r="http://schemas.openxmlformats.org/officeDocument/2006/relationships" ref="J46" display="https://www.carinsurance.com/Articles/minimum-liability-car-insurance-requirements-by-state.aspx" r:id="rId17"/>
    <hyperlink xmlns:r="http://schemas.openxmlformats.org/officeDocument/2006/relationships" ref="J47" display="https://www.autoinsurance.org/car-insurance-requirements/" r:id="rId18"/>
    <hyperlink xmlns:r="http://schemas.openxmlformats.org/officeDocument/2006/relationships" ref="J48" display="https://www.carinsurance.com/Articles/minimum-liability-car-insurance-requirements-by-state.aspx" r:id="rId1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26" customWidth="1" style="28" min="2" max="2"/>
    <col width="30" customWidth="1" style="28" min="3" max="3"/>
    <col width="26" customWidth="1" style="28" min="4" max="4"/>
    <col width="24" customWidth="1" style="28" min="5" max="5"/>
    <col width="55" customWidth="1" style="28" min="6" max="6"/>
    <col width="34" customWidth="1" style="28" min="7" max="7"/>
    <col width="42" customWidth="1" style="28" min="8" max="8"/>
    <col width="12" customWidth="1" style="28" min="9" max="9"/>
    <col width="16" customWidth="1" style="28" min="10" max="10"/>
    <col width="24" customWidth="1" style="28" min="11" max="11"/>
    <col width="20" customWidth="1" style="28" min="12" max="12"/>
    <col width="12" customWidth="1" style="28" min="13" max="13"/>
    <col width="50" customWidth="1" style="28" min="14" max="14"/>
  </cols>
  <sheetData>
    <row r="1" ht="31.5" customHeight="1" s="29">
      <c r="A1" s="40" t="inlineStr">
        <is>
          <t>State</t>
        </is>
      </c>
      <c r="B1" s="40" t="inlineStr">
        <is>
          <t>Credit - Auto</t>
        </is>
      </c>
      <c r="C1" s="40" t="inlineStr">
        <is>
          <t>Credit - Home</t>
        </is>
      </c>
      <c r="D1" s="40" t="inlineStr">
        <is>
          <t>Gender</t>
        </is>
      </c>
      <c r="E1" s="40" t="inlineStr">
        <is>
          <t>Age</t>
        </is>
      </c>
      <c r="F1" s="40" t="inlineStr">
        <is>
          <t>Other Notes</t>
        </is>
      </c>
      <c r="G1" s="40" t="inlineStr">
        <is>
          <t>Source</t>
        </is>
      </c>
      <c r="H1" s="40" t="inlineStr">
        <is>
          <t>Source URL</t>
        </is>
      </c>
      <c r="I1" s="40" t="inlineStr">
        <is>
          <t>Date Collected</t>
        </is>
      </c>
      <c r="J1" s="40" t="inlineStr">
        <is>
          <t>Geographic Scope</t>
        </is>
      </c>
      <c r="K1" s="40" t="inlineStr">
        <is>
          <t>Data Type</t>
        </is>
      </c>
      <c r="L1" s="40" t="inlineStr">
        <is>
          <t>Verification Status</t>
        </is>
      </c>
      <c r="M1" s="40" t="inlineStr">
        <is>
          <t>Last Updated</t>
        </is>
      </c>
      <c r="N1" s="40" t="inlineStr">
        <is>
          <t>Notes</t>
        </is>
      </c>
    </row>
    <row r="2" ht="46.25" customHeight="1" s="29">
      <c r="A2" s="41" t="inlineStr">
        <is>
          <t>California</t>
        </is>
      </c>
      <c r="B2" s="41" t="inlineStr">
        <is>
          <t>Not on approved factor list (10 CCR 2632.5)</t>
        </is>
      </c>
      <c r="C2" s="41" t="inlineStr">
        <is>
          <t>Banned (secondary: CNBC, Newsweek) - not yet verified from primary</t>
        </is>
      </c>
      <c r="D2" s="41" t="inlineStr">
        <is>
          <t>Not on approved factor list; regulation history shows one factor repealed effective Jan 1, 2019</t>
        </is>
      </c>
      <c r="E2" s="41" t="inlineStr">
        <is>
          <t>Not on approved list; only years licensed (third mandatory factor)</t>
        </is>
      </c>
      <c r="F2" s="41" t="inlineStr">
        <is>
          <t>Mandatory factors in order: driving safety record, annual miles, years of driving experience. ZIP allowed only through claims frequency/severity bands (max 20 categories each); marital status is an allowed optional factor.</t>
        </is>
      </c>
      <c r="G2" s="41" t="inlineStr">
        <is>
          <t>10 CCR section 2632.5 - Rating Factors (text via Cornell LII)</t>
        </is>
      </c>
      <c r="H2" s="42" t="inlineStr">
        <is>
          <t>https://www.law.cornell.edu/regulations/california/10-CCR-2632.5</t>
        </is>
      </c>
      <c r="I2" s="43" t="n">
        <v>46295</v>
      </c>
      <c r="J2" s="41" t="inlineStr">
        <is>
          <t>California</t>
        </is>
      </c>
      <c r="K2" s="41" t="inlineStr">
        <is>
          <t>Regulation text</t>
        </is>
      </c>
      <c r="L2" s="44" t="inlineStr">
        <is>
          <t>Primary source</t>
        </is>
      </c>
      <c r="M2" s="43" t="n">
        <v>46295</v>
      </c>
      <c r="N2" s="41" t="inlineStr">
        <is>
          <t>Resolves the earlier conflict: The Zebra and Firstcard were each partly right. Home-credit column is still secondary. Absence from the list is derived from the regulation text; confirm with counsel.</t>
        </is>
      </c>
    </row>
    <row r="3" ht="68.65000000000001" customHeight="1" s="29">
      <c r="A3" s="41" t="inlineStr">
        <is>
          <t>California (home)</t>
        </is>
      </c>
      <c r="B3" s="41" t="inlineStr">
        <is>
          <t>Not applicable (auto rule)</t>
        </is>
      </c>
      <c r="C3" s="41" t="inlineStr">
        <is>
          <t>Unresolved: no explicit statute found; reports say CDI does not approve homeowners rate filings that depend on credit, while older reports say some insurers used credit in underwriting</t>
        </is>
      </c>
      <c r="D3" s="41" t="inlineStr">
        <is>
          <t>Not captured</t>
        </is>
      </c>
      <c r="E3" s="41" t="inlineStr">
        <is>
          <t>Not captured</t>
        </is>
      </c>
      <c r="F3" s="41" t="inlineStr">
        <is>
          <t>A ban bill passed the Senate in 2022 (outcome not confirmed); 2004 and 2006 bills were earlier attempts. Experian (2025) says CA insurers do not use credit for homeowners rates.</t>
        </is>
      </c>
      <c r="G3" s="41" t="inlineStr">
        <is>
          <t>United Policyholders - Should states ban credit-based insurance scoring? (2013)</t>
        </is>
      </c>
      <c r="H3" s="42" t="inlineStr">
        <is>
          <t>https://uphelp.org/should-states-ban-credit-based-insurance-scoring/</t>
        </is>
      </c>
      <c r="I3" s="43" t="n">
        <v>46295</v>
      </c>
      <c r="J3" s="41" t="inlineStr">
        <is>
          <t>California</t>
        </is>
      </c>
      <c r="K3" s="41" t="inlineStr">
        <is>
          <t>Reference data (secondary source)</t>
        </is>
      </c>
      <c r="L3" s="46" t="inlineStr">
        <is>
          <t>Conflicting</t>
        </is>
      </c>
      <c r="M3" s="43" t="n">
        <v>46295</v>
      </c>
      <c r="N3" s="41" t="inlineStr">
        <is>
          <t>Ask CDI directly and check Insurance Code and CDI rate-filing rules for homeowners.</t>
        </is>
      </c>
    </row>
    <row r="4" ht="23.85" customHeight="1" s="29">
      <c r="A4" s="41" t="inlineStr">
        <is>
          <t>Hawaii</t>
        </is>
      </c>
      <c r="B4" s="41" t="inlineStr">
        <is>
          <t>Banned</t>
        </is>
      </c>
      <c r="C4" s="41" t="inlineStr">
        <is>
          <t>Allowed (per Newsweek); CNBC says auto ban only</t>
        </is>
      </c>
      <c r="D4" s="41" t="inlineStr">
        <is>
          <t>Not captured</t>
        </is>
      </c>
      <c r="E4" s="41" t="inlineStr">
        <is>
          <t>Not captured</t>
        </is>
      </c>
      <c r="F4" s="41" t="inlineStr">
        <is>
          <t>Credit banned for auto only, per Newsweek.</t>
        </is>
      </c>
      <c r="G4" s="41" t="inlineStr">
        <is>
          <t>Newsweek - Where your credit score can/can't raise insurance costs</t>
        </is>
      </c>
      <c r="H4" s="42" t="inlineStr">
        <is>
          <t>https://www.newsweek.com/where-your-credit-score-can-cant-raise-insurance-costs-11885672</t>
        </is>
      </c>
      <c r="I4" s="43" t="n">
        <v>46295</v>
      </c>
      <c r="J4" s="41" t="inlineStr">
        <is>
          <t>Hawaii</t>
        </is>
      </c>
      <c r="K4" s="41" t="inlineStr">
        <is>
          <t>Reference data (secondary source)</t>
        </is>
      </c>
      <c r="L4" s="45" t="inlineStr">
        <is>
          <t>Secondary - unverified</t>
        </is>
      </c>
      <c r="M4" s="43" t="n">
        <v>46295</v>
      </c>
      <c r="N4" s="41" t="inlineStr">
        <is>
          <t>Age/gender rules not captured.</t>
        </is>
      </c>
    </row>
    <row r="5" ht="46.25" customHeight="1" s="29">
      <c r="A5" s="41" t="inlineStr">
        <is>
          <t>Texas</t>
        </is>
      </c>
      <c r="B5" s="41" t="inlineStr">
        <is>
          <t>Allowed, but cannot be the only reason to turn down or charge more</t>
        </is>
      </c>
      <c r="C5" s="41" t="inlineStr">
        <is>
          <t>Not captured</t>
        </is>
      </c>
      <c r="D5" s="41" t="inlineStr">
        <is>
          <t>Age, gender, marital status, location, disability allowed only if the insurer can show greater risk</t>
        </is>
      </c>
      <c r="E5" s="41" t="inlineStr">
        <is>
          <t>Same as gender</t>
        </is>
      </c>
      <c r="F5" s="41" t="inlineStr">
        <is>
          <t>Race, color, religion, national origin may not be used. TDI HelpInsure.com lists which insurers use credit.</t>
        </is>
      </c>
      <c r="G5" s="41" t="inlineStr">
        <is>
          <t>Texas Dept of Insurance - Auto insurance guide (CB020)</t>
        </is>
      </c>
      <c r="H5" s="42" t="inlineStr">
        <is>
          <t>https://www.tdi.texas.gov/pubs/consumer/cb020.html</t>
        </is>
      </c>
      <c r="I5" s="43" t="n">
        <v>46295</v>
      </c>
      <c r="J5" s="41" t="inlineStr">
        <is>
          <t>Texas</t>
        </is>
      </c>
      <c r="K5" s="41" t="inlineStr">
        <is>
          <t>Regulator-published</t>
        </is>
      </c>
      <c r="L5" s="44" t="inlineStr">
        <is>
          <t>Primary source</t>
        </is>
      </c>
      <c r="M5" s="43" t="n">
        <v>46295</v>
      </c>
      <c r="N5" s="41" t="inlineStr">
        <is>
          <t>TDI guide wording; underlying statute not read.</t>
        </is>
      </c>
    </row>
    <row r="6" ht="68.65000000000001" customHeight="1" s="29">
      <c r="A6" s="41" t="inlineStr">
        <is>
          <t>Florida</t>
        </is>
      </c>
      <c r="B6" s="41" t="inlineStr">
        <is>
          <t>Regulated by s. 626.9741: insurer must disclose use, allow appeals for certain life events, and may not use certain inquiries or medical collections</t>
        </is>
      </c>
      <c r="C6" s="41" t="inlineStr">
        <is>
          <t>Same statute covers personal residential lines</t>
        </is>
      </c>
      <c r="D6" s="41" t="inlineStr">
        <is>
          <t>Not captured</t>
        </is>
      </c>
      <c r="E6" s="41" t="inlineStr">
        <is>
          <t>Not captured</t>
        </is>
      </c>
      <c r="F6" s="41" t="inlineStr">
        <is>
          <t>Statute applies to personal lines motor vehicle and residential insurance.</t>
        </is>
      </c>
      <c r="G6" s="41" t="inlineStr">
        <is>
          <t>Florida Statutes 626.9741 - Credit reports and scores by insurers</t>
        </is>
      </c>
      <c r="H6" s="42" t="inlineStr">
        <is>
          <t>https://www.flsenate.gov/Laws/Statutes/2025/0626.9741</t>
        </is>
      </c>
      <c r="I6" s="43" t="n">
        <v>46295</v>
      </c>
      <c r="J6" s="41" t="inlineStr">
        <is>
          <t>Florida</t>
        </is>
      </c>
      <c r="K6" s="41" t="inlineStr">
        <is>
          <t>Statute text</t>
        </is>
      </c>
      <c r="L6" s="44" t="inlineStr">
        <is>
          <t>Primary source</t>
        </is>
      </c>
      <c r="M6" s="43" t="n">
        <v>46295</v>
      </c>
      <c r="N6" s="41" t="inlineStr">
        <is>
          <t>Seen in snippets and older-year text; other rating limits (age, gender) not researched.</t>
        </is>
      </c>
    </row>
    <row r="7" ht="46.25" customHeight="1" s="29">
      <c r="A7" s="41" t="inlineStr">
        <is>
          <t>New York</t>
        </is>
      </c>
      <c r="B7" s="41" t="inlineStr">
        <is>
          <t>Allowed; cannot be sole basis for rejection; insurer may not terminate or raise renewal premium based on credit</t>
        </is>
      </c>
      <c r="C7" s="41" t="inlineStr">
        <is>
          <t>Not captured</t>
        </is>
      </c>
      <c r="D7" s="41" t="inlineStr">
        <is>
          <t>Sex is a permitted rating classification but refusing or terminating because of sex is prohibited</t>
        </is>
      </c>
      <c r="E7" s="41" t="inlineStr">
        <is>
          <t>Age is a permitted classification; 60+ cannot be sole reason for non-renewal</t>
        </is>
      </c>
      <c r="F7" s="41" t="inlineStr">
        <is>
          <t>Classifications include age, sex, marital status, territory, mileage, use and driving experience; unlicensed under 3 years gets an inexperienced-operator surcharge; disclosure and 3-year credit review rules apply.</t>
        </is>
      </c>
      <c r="G7" s="41" t="inlineStr">
        <is>
          <t>NY Dept of Financial Services - Auto Insurance Information for Consumers</t>
        </is>
      </c>
      <c r="H7" s="42" t="inlineStr">
        <is>
          <t>https://www.dfs.ny.gov/consumers/auto_insurance/Auto_resource_center</t>
        </is>
      </c>
      <c r="I7" s="43" t="n">
        <v>46295</v>
      </c>
      <c r="J7" s="41" t="inlineStr">
        <is>
          <t>New York</t>
        </is>
      </c>
      <c r="K7" s="41" t="inlineStr">
        <is>
          <t>Regulator-published</t>
        </is>
      </c>
      <c r="L7" s="44" t="inlineStr">
        <is>
          <t>Primary source</t>
        </is>
      </c>
      <c r="M7" s="43" t="n">
        <v>46295</v>
      </c>
      <c r="N7" s="41" t="inlineStr">
        <is>
          <t>DFS page. Confirm exact statutory limits with counsel.</t>
        </is>
      </c>
    </row>
    <row r="8" ht="23.85" customHeight="1" s="29">
      <c r="A8" s="41" t="inlineStr">
        <is>
          <t>Massachusetts</t>
        </is>
      </c>
      <c r="B8" s="41" t="inlineStr">
        <is>
          <t>Banned</t>
        </is>
      </c>
      <c r="C8" s="41" t="inlineStr">
        <is>
          <t>Banned</t>
        </is>
      </c>
      <c r="D8" s="41" t="inlineStr">
        <is>
          <t>Prohibited (per The Zebra)</t>
        </is>
      </c>
      <c r="E8" s="41" t="inlineStr">
        <is>
          <t>Prohibited (per The Zebra)</t>
        </is>
      </c>
      <c r="F8" s="41" t="inlineStr">
        <is>
          <t>Marital status also prohibited; driving experience, ZIP and insurance history allowed with limits (The Zebra).</t>
        </is>
      </c>
      <c r="G8" s="41" t="inlineStr">
        <is>
          <t>The Zebra - Car insurance rating factors by state</t>
        </is>
      </c>
      <c r="H8" s="42" t="inlineStr">
        <is>
          <t>https://www.thezebra.com/resources/research/car-insurance-rating-factors-by-state/</t>
        </is>
      </c>
      <c r="I8" s="43" t="n">
        <v>46295</v>
      </c>
      <c r="J8" s="41" t="inlineStr">
        <is>
          <t>Massachusetts</t>
        </is>
      </c>
      <c r="K8" s="41" t="inlineStr">
        <is>
          <t>Reference data (secondary source)</t>
        </is>
      </c>
      <c r="L8" s="45" t="inlineStr">
        <is>
          <t>Secondary - unverified</t>
        </is>
      </c>
      <c r="M8" s="43" t="n">
        <v>46295</v>
      </c>
      <c r="N8" s="41" t="n"/>
    </row>
    <row r="9" ht="35.05" customHeight="1" s="29">
      <c r="A9" s="41" t="inlineStr">
        <is>
          <t>Michigan</t>
        </is>
      </c>
      <c r="B9" s="41" t="inlineStr">
        <is>
          <t>Conflicting</t>
        </is>
      </c>
      <c r="C9" s="41" t="inlineStr">
        <is>
          <t>Cannot be used to deny/cancel/non-renew (per Experian)</t>
        </is>
      </c>
      <c r="D9" s="41" t="inlineStr">
        <is>
          <t>Non-group policies prohibited (per The Zebra)</t>
        </is>
      </c>
      <c r="E9" s="41" t="inlineStr">
        <is>
          <t>Allowed per The Zebra</t>
        </is>
      </c>
      <c r="F9" s="41" t="inlineStr">
        <is>
          <t>Most sources say auto credit is banned; The Zebra lists credit history as 'allowed with limitations'; Firstcard says limited but not fully banned.</t>
        </is>
      </c>
      <c r="G9" s="41" t="inlineStr">
        <is>
          <t>Experian - States that restrict credit-based insurance scores</t>
        </is>
      </c>
      <c r="H9" s="42" t="inlineStr">
        <is>
          <t>https://www.experian.com/blogs/ask-experian/which-states-prohibit-or-restrict-the-use-of-credit-based-insurance-scores/</t>
        </is>
      </c>
      <c r="I9" s="43" t="n">
        <v>46295</v>
      </c>
      <c r="J9" s="41" t="inlineStr">
        <is>
          <t>Michigan</t>
        </is>
      </c>
      <c r="K9" s="41" t="inlineStr">
        <is>
          <t>Reference data (secondary source)</t>
        </is>
      </c>
      <c r="L9" s="46" t="inlineStr">
        <is>
          <t>Conflicting</t>
        </is>
      </c>
      <c r="M9" s="43" t="n">
        <v>46295</v>
      </c>
      <c r="N9" s="41" t="inlineStr">
        <is>
          <t>Resolve with Michigan DIFS / Insurance Code of 1956.</t>
        </is>
      </c>
    </row>
    <row r="10" ht="23.85" customHeight="1" s="29">
      <c r="A10" s="41" t="inlineStr">
        <is>
          <t>Maryland</t>
        </is>
      </c>
      <c r="B10" s="41" t="inlineStr">
        <is>
          <t>Allowed with restrictions (per Firstcard)</t>
        </is>
      </c>
      <c r="C10" s="41" t="inlineStr">
        <is>
          <t>Banned (per CNBC)</t>
        </is>
      </c>
      <c r="D10" s="41" t="inlineStr">
        <is>
          <t>Not captured</t>
        </is>
      </c>
      <c r="E10" s="41" t="inlineStr">
        <is>
          <t>Not captured</t>
        </is>
      </c>
      <c r="F10" s="41" t="inlineStr">
        <is>
          <t>Experian lists Maryland among 7 states with strict credit limits.</t>
        </is>
      </c>
      <c r="G10" s="41" t="inlineStr">
        <is>
          <t>CNBC - Insurance rates based on credit history draw scrutiny</t>
        </is>
      </c>
      <c r="H10" s="42" t="inlineStr">
        <is>
          <t>https://www.cnbc.com/2026/04/26/insurance-rates-credit-history.html</t>
        </is>
      </c>
      <c r="I10" s="43" t="n">
        <v>46295</v>
      </c>
      <c r="J10" s="41" t="inlineStr">
        <is>
          <t>Maryland</t>
        </is>
      </c>
      <c r="K10" s="41" t="inlineStr">
        <is>
          <t>Reference data (secondary source)</t>
        </is>
      </c>
      <c r="L10" s="45" t="inlineStr">
        <is>
          <t>Secondary - unverified</t>
        </is>
      </c>
      <c r="M10" s="43" t="n">
        <v>46295</v>
      </c>
      <c r="N10" s="41" t="n"/>
    </row>
    <row r="11" ht="23.85" customHeight="1" s="29">
      <c r="A11" s="41" t="inlineStr">
        <is>
          <t>Oregon</t>
        </is>
      </c>
      <c r="B11" s="41" t="inlineStr">
        <is>
          <t>Strict limits (per Experian)</t>
        </is>
      </c>
      <c r="C11" s="41" t="inlineStr">
        <is>
          <t>Strict limits (per Experian)</t>
        </is>
      </c>
      <c r="D11" s="41" t="inlineStr">
        <is>
          <t>Not captured</t>
        </is>
      </c>
      <c r="E11" s="41" t="inlineStr">
        <is>
          <t>Not captured</t>
        </is>
      </c>
      <c r="F11" s="41" t="n"/>
      <c r="G11" s="41" t="inlineStr">
        <is>
          <t>Experian - States that restrict credit-based insurance scores</t>
        </is>
      </c>
      <c r="H11" s="42" t="inlineStr">
        <is>
          <t>https://www.experian.com/blogs/ask-experian/which-states-prohibit-or-restrict-the-use-of-credit-based-insurance-scores/</t>
        </is>
      </c>
      <c r="I11" s="43" t="n">
        <v>46295</v>
      </c>
      <c r="J11" s="41" t="inlineStr">
        <is>
          <t>Oregon</t>
        </is>
      </c>
      <c r="K11" s="41" t="inlineStr">
        <is>
          <t>Reference data (secondary source)</t>
        </is>
      </c>
      <c r="L11" s="45" t="inlineStr">
        <is>
          <t>Secondary - unverified</t>
        </is>
      </c>
      <c r="M11" s="43" t="n">
        <v>46295</v>
      </c>
      <c r="N11" s="41" t="inlineStr">
        <is>
          <t>Details of the limits not captured.</t>
        </is>
      </c>
    </row>
    <row r="12" ht="23.85" customHeight="1" s="29">
      <c r="A12" s="41" t="inlineStr">
        <is>
          <t>Utah</t>
        </is>
      </c>
      <c r="B12" s="41" t="inlineStr">
        <is>
          <t>Strict limits (per Experian)</t>
        </is>
      </c>
      <c r="C12" s="41" t="inlineStr">
        <is>
          <t>Strict limits (per Experian)</t>
        </is>
      </c>
      <c r="D12" s="41" t="inlineStr">
        <is>
          <t>Not captured</t>
        </is>
      </c>
      <c r="E12" s="41" t="inlineStr">
        <is>
          <t>Not captured</t>
        </is>
      </c>
      <c r="F12" s="41" t="n"/>
      <c r="G12" s="41" t="inlineStr">
        <is>
          <t>Experian - States that restrict credit-based insurance scores</t>
        </is>
      </c>
      <c r="H12" s="42" t="inlineStr">
        <is>
          <t>https://www.experian.com/blogs/ask-experian/which-states-prohibit-or-restrict-the-use-of-credit-based-insurance-scores/</t>
        </is>
      </c>
      <c r="I12" s="43" t="n">
        <v>46295</v>
      </c>
      <c r="J12" s="41" t="inlineStr">
        <is>
          <t>Utah</t>
        </is>
      </c>
      <c r="K12" s="41" t="inlineStr">
        <is>
          <t>Reference data (secondary source)</t>
        </is>
      </c>
      <c r="L12" s="45" t="inlineStr">
        <is>
          <t>Secondary - unverified</t>
        </is>
      </c>
      <c r="M12" s="43" t="n">
        <v>46295</v>
      </c>
      <c r="N12" s="41" t="inlineStr">
        <is>
          <t>Details of the limits not captured.</t>
        </is>
      </c>
    </row>
    <row r="13" ht="23.85" customHeight="1" s="29">
      <c r="A13" s="41" t="inlineStr">
        <is>
          <t>Washington</t>
        </is>
      </c>
      <c r="B13" s="41" t="inlineStr">
        <is>
          <t>Allowed (ban struck down)</t>
        </is>
      </c>
      <c r="C13" s="41" t="inlineStr">
        <is>
          <t>Not captured</t>
        </is>
      </c>
      <c r="D13" s="41" t="inlineStr">
        <is>
          <t>Not captured</t>
        </is>
      </c>
      <c r="E13" s="41" t="inlineStr">
        <is>
          <t>Not captured</t>
        </is>
      </c>
      <c r="F13" s="41" t="inlineStr">
        <is>
          <t>A court struck down the state's three-year credit ban in 2021 (MoneyGeek).</t>
        </is>
      </c>
      <c r="G13" s="41" t="inlineStr">
        <is>
          <t>MoneyGeek - Insurers that don't check credit</t>
        </is>
      </c>
      <c r="H13" s="42" t="inlineStr">
        <is>
          <t>https://www.moneygeek.com/insurance/auto/which-insurance-companies-dont-check-credit-score/</t>
        </is>
      </c>
      <c r="I13" s="43" t="n">
        <v>46295</v>
      </c>
      <c r="J13" s="41" t="inlineStr">
        <is>
          <t>Washington</t>
        </is>
      </c>
      <c r="K13" s="41" t="inlineStr">
        <is>
          <t>Reference data (secondary source)</t>
        </is>
      </c>
      <c r="L13" s="45" t="inlineStr">
        <is>
          <t>Secondary - unverified</t>
        </is>
      </c>
      <c r="M13" s="43" t="n">
        <v>46295</v>
      </c>
      <c r="N13" s="41" t="inlineStr">
        <is>
          <t>Verify current status with WA OIC.</t>
        </is>
      </c>
    </row>
    <row r="14" ht="23.85" customHeight="1" s="29">
      <c r="A14" s="41" t="inlineStr">
        <is>
          <t>All other states</t>
        </is>
      </c>
      <c r="B14" s="41" t="inlineStr">
        <is>
          <t>Generally allowed</t>
        </is>
      </c>
      <c r="C14" s="41" t="inlineStr">
        <is>
          <t>Generally allowed</t>
        </is>
      </c>
      <c r="D14" s="41" t="inlineStr">
        <is>
          <t>Generally allowed</t>
        </is>
      </c>
      <c r="E14" s="41" t="inlineStr">
        <is>
          <t>Generally allowed</t>
        </is>
      </c>
      <c r="F14" s="41" t="inlineStr">
        <is>
          <t>Per Experian, 7 states strictly limit credit use: CA, HI, MD, MA, MI, OR, UT. Bills pending in IA, NY, OK, PA (CNBC).</t>
        </is>
      </c>
      <c r="G14" s="41" t="inlineStr">
        <is>
          <t>Experian - States that restrict credit-based insurance scores</t>
        </is>
      </c>
      <c r="H14" s="42" t="inlineStr">
        <is>
          <t>https://www.experian.com/blogs/ask-experian/which-states-prohibit-or-restrict-the-use-of-credit-based-insurance-scores/</t>
        </is>
      </c>
      <c r="I14" s="43" t="n">
        <v>46295</v>
      </c>
      <c r="J14" s="41" t="inlineStr">
        <is>
          <t>46 states + DC</t>
        </is>
      </c>
      <c r="K14" s="41" t="inlineStr">
        <is>
          <t>Reference data (secondary source)</t>
        </is>
      </c>
      <c r="L14" s="45" t="inlineStr">
        <is>
          <t>Secondary - unverified</t>
        </is>
      </c>
      <c r="M14" s="43" t="n">
        <v>46295</v>
      </c>
      <c r="N14" s="41" t="inlineStr">
        <is>
          <t>Do not assume any factor is allowed; check each state's statute.</t>
        </is>
      </c>
    </row>
    <row r="15">
      <c r="A15" s="28" t="inlineStr">
        <is>
          <t>NY</t>
        </is>
      </c>
      <c r="C15" s="28" t="inlineStr">
        <is>
          <t>Insurer must disclose use of credit information; policyholder may request re-underwriting/re-rating based on current credit at least every 3 years; credit updates may only be used to decrease premium, never increase it</t>
        </is>
      </c>
      <c r="G15" s="28" t="inlineStr">
        <is>
          <t>NY Dept of Financial Services - Ways to Save on Homeowners Insurance</t>
        </is>
      </c>
      <c r="H15" s="28" t="inlineStr">
        <is>
          <t>https://www.dfs.ny.gov/system/files/documents/2026/02/Ways-to-Save-Homeowners-Insurance.pdf</t>
        </is>
      </c>
      <c r="I15" s="48" t="n">
        <v>46296</v>
      </c>
      <c r="J15" s="28" t="inlineStr">
        <is>
          <t>New York</t>
        </is>
      </c>
      <c r="K15" s="28" t="inlineStr">
        <is>
          <t>Regulator-published</t>
        </is>
      </c>
      <c r="L15" s="28" t="inlineStr">
        <is>
          <t>Primary source</t>
        </is>
      </c>
      <c r="M15" s="48" t="n">
        <v>46296</v>
      </c>
      <c r="N15" s="28" t="inlineStr">
        <is>
          <t>Home credit-use rule only; NY auto credit-use rule not yet researched (left blank).</t>
        </is>
      </c>
    </row>
  </sheetData>
  <autoFilter ref="A1:N14"/>
  <dataValidations count="1">
    <dataValidation sqref="L2:L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H2" display="https://www.law.cornell.edu/regulations/california/10-CCR-2632.5" r:id="rId1"/>
    <hyperlink xmlns:r="http://schemas.openxmlformats.org/officeDocument/2006/relationships" ref="H3" display="https://uphelp.org/should-states-ban-credit-based-insurance-scoring/" r:id="rId2"/>
    <hyperlink xmlns:r="http://schemas.openxmlformats.org/officeDocument/2006/relationships" ref="H4" display="https://www.newsweek.com/where-your-credit-score-can-cant-raise-insurance-costs-11885672" r:id="rId3"/>
    <hyperlink xmlns:r="http://schemas.openxmlformats.org/officeDocument/2006/relationships" ref="H5" display="https://www.tdi.texas.gov/pubs/consumer/cb020.html" r:id="rId4"/>
    <hyperlink xmlns:r="http://schemas.openxmlformats.org/officeDocument/2006/relationships" ref="H6" display="https://www.flsenate.gov/Laws/Statutes/2025/0626.9741" r:id="rId5"/>
    <hyperlink xmlns:r="http://schemas.openxmlformats.org/officeDocument/2006/relationships" ref="H7" display="https://www.dfs.ny.gov/consumers/auto_insurance/Auto_resource_center" r:id="rId6"/>
    <hyperlink xmlns:r="http://schemas.openxmlformats.org/officeDocument/2006/relationships" ref="H8" display="https://www.thezebra.com/resources/research/car-insurance-rating-factors-by-state/" r:id="rId7"/>
    <hyperlink xmlns:r="http://schemas.openxmlformats.org/officeDocument/2006/relationships" ref="H9" display="https://www.experian.com/blogs/ask-experian/which-states-prohibit-or-restrict-the-use-of-credit-based-insurance-scores/" r:id="rId8"/>
    <hyperlink xmlns:r="http://schemas.openxmlformats.org/officeDocument/2006/relationships" ref="H10" display="https://www.cnbc.com/2026/04/26/insurance-rates-credit-history.html" r:id="rId9"/>
    <hyperlink xmlns:r="http://schemas.openxmlformats.org/officeDocument/2006/relationships" ref="H11" display="https://www.experian.com/blogs/ask-experian/which-states-prohibit-or-restrict-the-use-of-credit-based-insurance-scores/" r:id="rId10"/>
    <hyperlink xmlns:r="http://schemas.openxmlformats.org/officeDocument/2006/relationships" ref="H12" display="https://www.experian.com/blogs/ask-experian/which-states-prohibit-or-restrict-the-use-of-credit-based-insurance-scores/" r:id="rId11"/>
    <hyperlink xmlns:r="http://schemas.openxmlformats.org/officeDocument/2006/relationships" ref="H13" display="https://www.moneygeek.com/insurance/auto/which-insurance-companies-dont-check-credit-score/" r:id="rId12"/>
    <hyperlink xmlns:r="http://schemas.openxmlformats.org/officeDocument/2006/relationships" ref="H14" display="https://www.experian.com/blogs/ask-experian/which-states-prohibit-or-restrict-the-use-of-credit-based-insurance-scores/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8" min="1" max="1"/>
    <col width="16" customWidth="1" style="28" min="2" max="2"/>
    <col width="26" customWidth="1" style="28" min="3" max="3"/>
    <col width="30" customWidth="1" style="28" min="4" max="4"/>
    <col width="36" customWidth="1" style="28" min="5" max="5"/>
    <col width="34" customWidth="1" style="28" min="6" max="6"/>
    <col width="42" customWidth="1" style="28" min="7" max="7"/>
    <col width="12" customWidth="1" style="28" min="8" max="8"/>
    <col width="24" customWidth="1" style="28" min="9" max="9"/>
    <col width="20" customWidth="1" style="28" min="10" max="10"/>
    <col width="12" customWidth="1" style="28" min="11" max="11"/>
    <col width="60" customWidth="1" style="28" min="12" max="13"/>
  </cols>
  <sheetData>
    <row r="1" ht="31.5" customHeight="1" s="29">
      <c r="A1" s="40" t="inlineStr">
        <is>
          <t>Discount</t>
        </is>
      </c>
      <c r="B1" s="40" t="inlineStr">
        <is>
          <t>Category</t>
        </is>
      </c>
      <c r="C1" s="40" t="inlineStr">
        <is>
          <t>State / Scope</t>
        </is>
      </c>
      <c r="D1" s="40" t="inlineStr">
        <is>
          <t>Availability</t>
        </is>
      </c>
      <c r="E1" s="40" t="inlineStr">
        <is>
          <t>Reported Amount</t>
        </is>
      </c>
      <c r="F1" s="40" t="inlineStr">
        <is>
          <t>Source</t>
        </is>
      </c>
      <c r="G1" s="40" t="inlineStr">
        <is>
          <t>Source URL</t>
        </is>
      </c>
      <c r="H1" s="40" t="inlineStr">
        <is>
          <t>Date Collected</t>
        </is>
      </c>
      <c r="I1" s="40" t="inlineStr">
        <is>
          <t>Geographic Scope</t>
        </is>
      </c>
      <c r="J1" s="40" t="inlineStr">
        <is>
          <t>Data Type</t>
        </is>
      </c>
      <c r="K1" s="40" t="inlineStr">
        <is>
          <t>Verification Status</t>
        </is>
      </c>
      <c r="L1" s="40" t="inlineStr">
        <is>
          <t>Last Updated</t>
        </is>
      </c>
      <c r="M1" s="40" t="inlineStr">
        <is>
          <t>Notes</t>
        </is>
      </c>
    </row>
    <row r="2" ht="23.85" customHeight="1" s="29">
      <c r="A2" s="41" t="inlineStr">
        <is>
          <t>Accident prevention course (defensive driving)</t>
        </is>
      </c>
      <c r="B2" s="41" t="inlineStr">
        <is>
          <t>Driver / Vehicle</t>
        </is>
      </c>
      <c r="C2" s="41" t="inlineStr">
        <is>
          <t>New York</t>
        </is>
      </c>
      <c r="D2" s="41" t="inlineStr">
        <is>
          <t>Mandated by statute</t>
        </is>
      </c>
      <c r="E2" s="41" t="inlineStr">
        <is>
          <t>Amount not stated</t>
        </is>
      </c>
      <c r="F2" s="41" t="inlineStr">
        <is>
          <t>NY Dept of Financial Services - Auto Insurance Discounts</t>
        </is>
      </c>
      <c r="G2" s="42" t="inlineStr">
        <is>
          <t>https://www.dfs.ny.gov/consumers/auto_insurance/discounts_list</t>
        </is>
      </c>
      <c r="H2" s="43" t="n">
        <v>46295</v>
      </c>
      <c r="I2" s="41" t="inlineStr">
        <is>
          <t>New York</t>
        </is>
      </c>
      <c r="J2" s="41" t="inlineStr">
        <is>
          <t>Regulator-published</t>
        </is>
      </c>
      <c r="K2" s="44" t="inlineStr">
        <is>
          <t>Primary source</t>
        </is>
      </c>
      <c r="L2" s="43" t="n">
        <v>46295</v>
      </c>
      <c r="M2" s="41" t="inlineStr">
        <is>
          <t>Must be offered by all NY companies (DFS).</t>
        </is>
      </c>
    </row>
    <row r="3" ht="23.85" customHeight="1" s="29">
      <c r="A3" s="41" t="inlineStr">
        <is>
          <t>Electronic tracking device</t>
        </is>
      </c>
      <c r="B3" s="41" t="inlineStr">
        <is>
          <t>Driver / Vehicle</t>
        </is>
      </c>
      <c r="C3" s="41" t="inlineStr">
        <is>
          <t>New York</t>
        </is>
      </c>
      <c r="D3" s="41" t="inlineStr">
        <is>
          <t>Mandated by statute</t>
        </is>
      </c>
      <c r="E3" s="41" t="inlineStr">
        <is>
          <t>Amount not stated</t>
        </is>
      </c>
      <c r="F3" s="41" t="inlineStr">
        <is>
          <t>NY Dept of Financial Services - Auto Insurance Discounts</t>
        </is>
      </c>
      <c r="G3" s="42" t="inlineStr">
        <is>
          <t>https://www.dfs.ny.gov/consumers/auto_insurance/discounts_list</t>
        </is>
      </c>
      <c r="H3" s="43" t="n">
        <v>46295</v>
      </c>
      <c r="I3" s="41" t="inlineStr">
        <is>
          <t>New York</t>
        </is>
      </c>
      <c r="J3" s="41" t="inlineStr">
        <is>
          <t>Regulator-published</t>
        </is>
      </c>
      <c r="K3" s="44" t="inlineStr">
        <is>
          <t>Primary source</t>
        </is>
      </c>
      <c r="L3" s="43" t="n">
        <v>46295</v>
      </c>
      <c r="M3" s="41" t="inlineStr">
        <is>
          <t>Must be offered by all NY companies (DFS).</t>
        </is>
      </c>
    </row>
    <row r="4" ht="23.85" customHeight="1" s="29">
      <c r="A4" s="41" t="inlineStr">
        <is>
          <t>Factory-installed anti-lock brakes (ABS)</t>
        </is>
      </c>
      <c r="B4" s="41" t="inlineStr">
        <is>
          <t>Driver / Vehicle</t>
        </is>
      </c>
      <c r="C4" s="41" t="inlineStr">
        <is>
          <t>New York</t>
        </is>
      </c>
      <c r="D4" s="41" t="inlineStr">
        <is>
          <t>Mandated by statute</t>
        </is>
      </c>
      <c r="E4" s="41" t="inlineStr">
        <is>
          <t>Amount not stated</t>
        </is>
      </c>
      <c r="F4" s="41" t="inlineStr">
        <is>
          <t>NY Dept of Financial Services - Auto Insurance Discounts</t>
        </is>
      </c>
      <c r="G4" s="42" t="inlineStr">
        <is>
          <t>https://www.dfs.ny.gov/consumers/auto_insurance/discounts_list</t>
        </is>
      </c>
      <c r="H4" s="43" t="n">
        <v>46295</v>
      </c>
      <c r="I4" s="41" t="inlineStr">
        <is>
          <t>New York</t>
        </is>
      </c>
      <c r="J4" s="41" t="inlineStr">
        <is>
          <t>Regulator-published</t>
        </is>
      </c>
      <c r="K4" s="44" t="inlineStr">
        <is>
          <t>Primary source</t>
        </is>
      </c>
      <c r="L4" s="43" t="n">
        <v>46295</v>
      </c>
      <c r="M4" s="41" t="inlineStr">
        <is>
          <t>Must be offered by all NY companies (DFS).</t>
        </is>
      </c>
    </row>
    <row r="5" ht="23.85" customHeight="1" s="29">
      <c r="A5" s="41" t="inlineStr">
        <is>
          <t>Passive restraints (automatic belts / air bags)</t>
        </is>
      </c>
      <c r="B5" s="41" t="inlineStr">
        <is>
          <t>Driver / Vehicle</t>
        </is>
      </c>
      <c r="C5" s="41" t="inlineStr">
        <is>
          <t>New York</t>
        </is>
      </c>
      <c r="D5" s="41" t="inlineStr">
        <is>
          <t>Mandated by statute</t>
        </is>
      </c>
      <c r="E5" s="41" t="inlineStr">
        <is>
          <t>Amount not stated</t>
        </is>
      </c>
      <c r="F5" s="41" t="inlineStr">
        <is>
          <t>NY Dept of Financial Services - Auto Insurance Discounts</t>
        </is>
      </c>
      <c r="G5" s="42" t="inlineStr">
        <is>
          <t>https://www.dfs.ny.gov/consumers/auto_insurance/discounts_list</t>
        </is>
      </c>
      <c r="H5" s="43" t="n">
        <v>46295</v>
      </c>
      <c r="I5" s="41" t="inlineStr">
        <is>
          <t>New York</t>
        </is>
      </c>
      <c r="J5" s="41" t="inlineStr">
        <is>
          <t>Regulator-published</t>
        </is>
      </c>
      <c r="K5" s="44" t="inlineStr">
        <is>
          <t>Primary source</t>
        </is>
      </c>
      <c r="L5" s="43" t="n">
        <v>46295</v>
      </c>
      <c r="M5" s="41" t="inlineStr">
        <is>
          <t>Must be offered by all NY companies (DFS).</t>
        </is>
      </c>
    </row>
    <row r="6" ht="23.85" customHeight="1" s="29">
      <c r="A6" s="41" t="inlineStr">
        <is>
          <t>Factory-installed daytime running lamps</t>
        </is>
      </c>
      <c r="B6" s="41" t="inlineStr">
        <is>
          <t>Driver / Vehicle</t>
        </is>
      </c>
      <c r="C6" s="41" t="inlineStr">
        <is>
          <t>New York</t>
        </is>
      </c>
      <c r="D6" s="41" t="inlineStr">
        <is>
          <t>Mandated by statute</t>
        </is>
      </c>
      <c r="E6" s="41" t="inlineStr">
        <is>
          <t>Amount not stated</t>
        </is>
      </c>
      <c r="F6" s="41" t="inlineStr">
        <is>
          <t>NY Dept of Financial Services - Auto Insurance Discounts</t>
        </is>
      </c>
      <c r="G6" s="42" t="inlineStr">
        <is>
          <t>https://www.dfs.ny.gov/consumers/auto_insurance/discounts_list</t>
        </is>
      </c>
      <c r="H6" s="43" t="n">
        <v>46295</v>
      </c>
      <c r="I6" s="41" t="inlineStr">
        <is>
          <t>New York</t>
        </is>
      </c>
      <c r="J6" s="41" t="inlineStr">
        <is>
          <t>Regulator-published</t>
        </is>
      </c>
      <c r="K6" s="44" t="inlineStr">
        <is>
          <t>Primary source</t>
        </is>
      </c>
      <c r="L6" s="43" t="n">
        <v>46295</v>
      </c>
      <c r="M6" s="41" t="inlineStr">
        <is>
          <t>Must be offered by all NY companies (DFS).</t>
        </is>
      </c>
    </row>
    <row r="7" ht="23.85" customHeight="1" s="29">
      <c r="A7" s="41" t="inlineStr">
        <is>
          <t>Window glass etching</t>
        </is>
      </c>
      <c r="B7" s="41" t="inlineStr">
        <is>
          <t>Driver / Vehicle</t>
        </is>
      </c>
      <c r="C7" s="41" t="inlineStr">
        <is>
          <t>New York</t>
        </is>
      </c>
      <c r="D7" s="41" t="inlineStr">
        <is>
          <t>Mandated by statute</t>
        </is>
      </c>
      <c r="E7" s="41" t="inlineStr">
        <is>
          <t>Amount not stated</t>
        </is>
      </c>
      <c r="F7" s="41" t="inlineStr">
        <is>
          <t>NY Dept of Financial Services - Auto Insurance Discounts</t>
        </is>
      </c>
      <c r="G7" s="42" t="inlineStr">
        <is>
          <t>https://www.dfs.ny.gov/consumers/auto_insurance/discounts_list</t>
        </is>
      </c>
      <c r="H7" s="43" t="n">
        <v>46295</v>
      </c>
      <c r="I7" s="41" t="inlineStr">
        <is>
          <t>New York</t>
        </is>
      </c>
      <c r="J7" s="41" t="inlineStr">
        <is>
          <t>Regulator-published</t>
        </is>
      </c>
      <c r="K7" s="44" t="inlineStr">
        <is>
          <t>Primary source</t>
        </is>
      </c>
      <c r="L7" s="43" t="n">
        <v>46295</v>
      </c>
      <c r="M7" s="41" t="inlineStr">
        <is>
          <t>Must be offered by all NY companies (DFS).</t>
        </is>
      </c>
    </row>
    <row r="8" ht="23.85" customHeight="1" s="29">
      <c r="A8" s="41" t="inlineStr">
        <is>
          <t>Accident prevention course - guaranteed amount</t>
        </is>
      </c>
      <c r="B8" s="41" t="inlineStr">
        <is>
          <t>Driver</t>
        </is>
      </c>
      <c r="C8" s="41" t="inlineStr">
        <is>
          <t>New York</t>
        </is>
      </c>
      <c r="D8" s="41" t="inlineStr">
        <is>
          <t>Mandated</t>
        </is>
      </c>
      <c r="E8" s="41" t="inlineStr">
        <is>
          <t>10% via PIRP for approved course</t>
        </is>
      </c>
      <c r="F8" s="41" t="inlineStr">
        <is>
          <t>MoneyGeek - Defensive driver discounts</t>
        </is>
      </c>
      <c r="G8" s="42" t="inlineStr">
        <is>
          <t>https://www.moneygeek.com/insurance/auto/defensive-driver-courses/</t>
        </is>
      </c>
      <c r="H8" s="43" t="n">
        <v>46295</v>
      </c>
      <c r="I8" s="41" t="inlineStr">
        <is>
          <t>New York</t>
        </is>
      </c>
      <c r="J8" s="41" t="inlineStr">
        <is>
          <t>Reference data (secondary source)</t>
        </is>
      </c>
      <c r="K8" s="45" t="inlineStr">
        <is>
          <t>Secondary - unverified</t>
        </is>
      </c>
      <c r="L8" s="43" t="n">
        <v>46295</v>
      </c>
      <c r="M8" s="41" t="inlineStr">
        <is>
          <t>Amount from MoneyGeek; confirm with DFS.</t>
        </is>
      </c>
    </row>
    <row r="9" ht="23.85" customHeight="1" s="29">
      <c r="A9" s="41" t="inlineStr">
        <is>
          <t>Defensive driver discount</t>
        </is>
      </c>
      <c r="B9" s="41" t="inlineStr">
        <is>
          <t>Driver</t>
        </is>
      </c>
      <c r="C9" s="41" t="inlineStr">
        <is>
          <t>Massachusetts, Michigan, Hawaii</t>
        </is>
      </c>
      <c r="D9" s="41" t="inlineStr">
        <is>
          <t>Not offered</t>
        </is>
      </c>
      <c r="E9" s="41" t="inlineStr">
        <is>
          <t>-</t>
        </is>
      </c>
      <c r="F9" s="41" t="inlineStr">
        <is>
          <t>MoneyGeek - Defensive driver discounts</t>
        </is>
      </c>
      <c r="G9" s="42" t="inlineStr">
        <is>
          <t>https://www.moneygeek.com/insurance/auto/defensive-driver-courses/</t>
        </is>
      </c>
      <c r="H9" s="43" t="n">
        <v>46295</v>
      </c>
      <c r="I9" s="41" t="inlineStr">
        <is>
          <t>MA, MI, HI</t>
        </is>
      </c>
      <c r="J9" s="41" t="inlineStr">
        <is>
          <t>Reference data (secondary source)</t>
        </is>
      </c>
      <c r="K9" s="45" t="inlineStr">
        <is>
          <t>Secondary - unverified</t>
        </is>
      </c>
      <c r="L9" s="43" t="n">
        <v>46295</v>
      </c>
      <c r="M9" s="41" t="inlineStr">
        <is>
          <t>Per MoneyGeek: none offered regardless of carrier.</t>
        </is>
      </c>
    </row>
    <row r="10" ht="23.85" customHeight="1" s="29">
      <c r="A10" s="41" t="inlineStr">
        <is>
          <t>Defensive driver discount</t>
        </is>
      </c>
      <c r="B10" s="41" t="inlineStr">
        <is>
          <t>Driver</t>
        </is>
      </c>
      <c r="C10" s="41" t="inlineStr">
        <is>
          <t>North Carolina</t>
        </is>
      </c>
      <c r="D10" s="41" t="inlineStr">
        <is>
          <t>Not offered (by GEICO)</t>
        </is>
      </c>
      <c r="E10" s="41" t="inlineStr">
        <is>
          <t>-</t>
        </is>
      </c>
      <c r="F10" s="41" t="inlineStr">
        <is>
          <t>GEICO - Defensive driving discounts by state</t>
        </is>
      </c>
      <c r="G10" s="42" t="inlineStr">
        <is>
          <t>https://www.geico.com/save/discounts/defensive-driver-discounts/</t>
        </is>
      </c>
      <c r="H10" s="43" t="n">
        <v>46295</v>
      </c>
      <c r="I10" s="41" t="inlineStr">
        <is>
          <t>North Carolina</t>
        </is>
      </c>
      <c r="J10" s="41" t="inlineStr">
        <is>
          <t>Carrier-published</t>
        </is>
      </c>
      <c r="K10" s="44" t="inlineStr">
        <is>
          <t>Primary source</t>
        </is>
      </c>
      <c r="L10" s="43" t="n">
        <v>46295</v>
      </c>
      <c r="M10" s="41" t="inlineStr">
        <is>
          <t>GEICO-specific; other carriers may differ.</t>
        </is>
      </c>
    </row>
    <row r="11" ht="23.85" customHeight="1" s="29">
      <c r="A11" s="41" t="inlineStr">
        <is>
          <t>Defensive driver discount</t>
        </is>
      </c>
      <c r="B11" s="41" t="inlineStr">
        <is>
          <t>Driver</t>
        </is>
      </c>
      <c r="C11" s="41" t="inlineStr">
        <is>
          <t>Massachusetts, Hawaii, Michigan (GEICO)</t>
        </is>
      </c>
      <c r="D11" s="41" t="inlineStr">
        <is>
          <t>Not offered (by GEICO)</t>
        </is>
      </c>
      <c r="E11" s="41" t="inlineStr">
        <is>
          <t>-</t>
        </is>
      </c>
      <c r="F11" s="41" t="inlineStr">
        <is>
          <t>GEICO - Defensive driving discounts by state</t>
        </is>
      </c>
      <c r="G11" s="42" t="inlineStr">
        <is>
          <t>https://www.geico.com/save/discounts/defensive-driver-discounts/</t>
        </is>
      </c>
      <c r="H11" s="43" t="n">
        <v>46295</v>
      </c>
      <c r="I11" s="41" t="inlineStr">
        <is>
          <t>MA, HI, MI</t>
        </is>
      </c>
      <c r="J11" s="41" t="inlineStr">
        <is>
          <t>Carrier-published</t>
        </is>
      </c>
      <c r="K11" s="44" t="inlineStr">
        <is>
          <t>Primary source</t>
        </is>
      </c>
      <c r="L11" s="43" t="n">
        <v>46295</v>
      </c>
      <c r="M11" s="41" t="inlineStr">
        <is>
          <t>GEICO-specific statement.</t>
        </is>
      </c>
    </row>
    <row r="12" ht="23.85" customHeight="1" s="29">
      <c r="A12" s="41" t="inlineStr">
        <is>
          <t>Defensive driver discount</t>
        </is>
      </c>
      <c r="B12" s="41" t="inlineStr">
        <is>
          <t>Driver</t>
        </is>
      </c>
      <c r="C12" s="41" t="inlineStr">
        <is>
          <t>Idaho</t>
        </is>
      </c>
      <c r="D12" s="41" t="inlineStr">
        <is>
          <t>Carrier-optional (GEICO)</t>
        </is>
      </c>
      <c r="E12" s="41" t="inlineStr">
        <is>
          <t>Up to 10% (GEICO)</t>
        </is>
      </c>
      <c r="F12" s="41" t="inlineStr">
        <is>
          <t>GEICO - Defensive driving discounts by state</t>
        </is>
      </c>
      <c r="G12" s="42" t="inlineStr">
        <is>
          <t>https://www.geico.com/save/discounts/defensive-driver-discounts/</t>
        </is>
      </c>
      <c r="H12" s="43" t="n">
        <v>46295</v>
      </c>
      <c r="I12" s="41" t="inlineStr">
        <is>
          <t>Idaho</t>
        </is>
      </c>
      <c r="J12" s="41" t="inlineStr">
        <is>
          <t>Carrier-published</t>
        </is>
      </c>
      <c r="K12" s="44" t="inlineStr">
        <is>
          <t>Primary source</t>
        </is>
      </c>
      <c r="L12" s="43" t="n">
        <v>46295</v>
      </c>
      <c r="M12" s="41" t="inlineStr">
        <is>
          <t>GEICO-specific.</t>
        </is>
      </c>
    </row>
    <row r="13" ht="23.85" customHeight="1" s="29">
      <c r="A13" s="41" t="inlineStr">
        <is>
          <t>Defensive driver discount</t>
        </is>
      </c>
      <c r="B13" s="41" t="inlineStr">
        <is>
          <t>Driver</t>
        </is>
      </c>
      <c r="C13" s="41" t="inlineStr">
        <is>
          <t>Texas</t>
        </is>
      </c>
      <c r="D13" s="41" t="inlineStr">
        <is>
          <t>Carrier-optional (no state mandate)</t>
        </is>
      </c>
      <c r="E13" s="41" t="inlineStr">
        <is>
          <t>Up to 10% at most carriers for TDLR-approved course</t>
        </is>
      </c>
      <c r="F13" s="41" t="inlineStr">
        <is>
          <t>MoneyGeek - Defensive driver discounts</t>
        </is>
      </c>
      <c r="G13" s="42" t="inlineStr">
        <is>
          <t>https://www.moneygeek.com/insurance/auto/defensive-driver-courses/</t>
        </is>
      </c>
      <c r="H13" s="43" t="n">
        <v>46295</v>
      </c>
      <c r="I13" s="41" t="inlineStr">
        <is>
          <t>Texas</t>
        </is>
      </c>
      <c r="J13" s="41" t="inlineStr">
        <is>
          <t>Reference data (secondary source)</t>
        </is>
      </c>
      <c r="K13" s="45" t="inlineStr">
        <is>
          <t>Secondary - unverified</t>
        </is>
      </c>
      <c r="L13" s="43" t="n">
        <v>46295</v>
      </c>
      <c r="M13" s="41" t="n"/>
    </row>
    <row r="14" ht="35.05" customHeight="1" s="29">
      <c r="A14" s="41" t="inlineStr">
        <is>
          <t>Good driver discount</t>
        </is>
      </c>
      <c r="B14" s="41" t="inlineStr">
        <is>
          <t>Driver</t>
        </is>
      </c>
      <c r="C14" s="41" t="inlineStr">
        <is>
          <t>California</t>
        </is>
      </c>
      <c r="D14" s="41" t="inlineStr">
        <is>
          <t>Mandated: every insurer must offer</t>
        </is>
      </c>
      <c r="E14" s="41" t="inlineStr">
        <is>
          <t>At least 20% below comparable non-good-driver rate</t>
        </is>
      </c>
      <c r="F14" s="41" t="inlineStr">
        <is>
          <t>CA Dept of Insurance - Introduction to Auto Insurance (Form 101, rev. Feb 5, 2025)</t>
        </is>
      </c>
      <c r="G14" s="42" t="inlineStr">
        <is>
          <t>https://www.insurance.ca.gov/01-consumers/105-type/95-guides/01-auto/auto101.cfm</t>
        </is>
      </c>
      <c r="H14" s="43" t="n">
        <v>46295</v>
      </c>
      <c r="I14" s="41" t="inlineStr">
        <is>
          <t>California</t>
        </is>
      </c>
      <c r="J14" s="41" t="inlineStr">
        <is>
          <t>Regulator-published</t>
        </is>
      </c>
      <c r="K14" s="44" t="inlineStr">
        <is>
          <t>Primary source</t>
        </is>
      </c>
      <c r="L14" s="43" t="n">
        <v>46295</v>
      </c>
      <c r="M14" s="41" t="inlineStr">
        <is>
          <t>Good driver: licensed 3+ consecutive years and no more than one point (CDI). Full statutory definition is Insurance Code 1861.025 - not yet read.</t>
        </is>
      </c>
    </row>
    <row r="15" ht="23.85" customHeight="1" s="29">
      <c r="A15" s="41" t="inlineStr">
        <is>
          <t>Driver training / defensive driving discount</t>
        </is>
      </c>
      <c r="B15" s="41" t="inlineStr">
        <is>
          <t>Driver</t>
        </is>
      </c>
      <c r="C15" s="41" t="inlineStr">
        <is>
          <t>California</t>
        </is>
      </c>
      <c r="D15" s="41" t="inlineStr">
        <is>
          <t>Insurers permitted to offer (optional factor)</t>
        </is>
      </c>
      <c r="E15" s="41" t="inlineStr">
        <is>
          <t>Insurer-determined</t>
        </is>
      </c>
      <c r="F15" s="41" t="inlineStr">
        <is>
          <t>CDI Rate Regulation Advisory Notice 2005-02 (May 2, 2005)</t>
        </is>
      </c>
      <c r="G15" s="42" t="inlineStr">
        <is>
          <t>https://www.insurance.ca.gov/0250-insurers/0300-insurers/0200-bulletins/bulletin-notices-commiss-opinion/upload/Advisory-Notice-2005-02.pdf</t>
        </is>
      </c>
      <c r="H15" s="43" t="n">
        <v>46295</v>
      </c>
      <c r="I15" s="41" t="inlineStr">
        <is>
          <t>California</t>
        </is>
      </c>
      <c r="J15" s="41" t="inlineStr">
        <is>
          <t>Regulator-published</t>
        </is>
      </c>
      <c r="K15" s="44" t="inlineStr">
        <is>
          <t>Primary source</t>
        </is>
      </c>
      <c r="L15" s="43" t="n">
        <v>46295</v>
      </c>
      <c r="M15" s="41" t="inlineStr">
        <is>
          <t>10 CCR 2632.6 authorizes it, per Advisory Notice 2005-02.</t>
        </is>
      </c>
    </row>
    <row r="16" ht="35.05" customHeight="1" s="29">
      <c r="A16" s="41" t="inlineStr">
        <is>
          <t>Mature driver course discount (age 55+)</t>
        </is>
      </c>
      <c r="B16" s="41" t="inlineStr">
        <is>
          <t>Driver</t>
        </is>
      </c>
      <c r="C16" s="41" t="inlineStr">
        <is>
          <t>California</t>
        </is>
      </c>
      <c r="D16" s="41" t="inlineStr">
        <is>
          <t>Mandated: every admitted insurer must provide a reduction</t>
        </is>
      </c>
      <c r="E16" s="41" t="inlineStr">
        <is>
          <t>Insurer-determined percentage</t>
        </is>
      </c>
      <c r="F16" s="41" t="inlineStr">
        <is>
          <t>CA Insurance Code section 11628.3 - Mature driver (text via FindLaw)</t>
        </is>
      </c>
      <c r="G16" s="42" t="inlineStr">
        <is>
          <t>https://codes.findlaw.com/ca/insurance-code/ins-sect-11628-3/</t>
        </is>
      </c>
      <c r="H16" s="43" t="n">
        <v>46295</v>
      </c>
      <c r="I16" s="41" t="inlineStr">
        <is>
          <t>California</t>
        </is>
      </c>
      <c r="J16" s="41" t="inlineStr">
        <is>
          <t>Statute text</t>
        </is>
      </c>
      <c r="K16" s="44" t="inlineStr">
        <is>
          <t>Primary source</t>
        </is>
      </c>
      <c r="L16" s="43" t="n">
        <v>46295</v>
      </c>
      <c r="M16" s="41" t="inlineStr">
        <is>
          <t>Principal operators 55+ with DMV-approved course certificate (Ins. Code 11628.3; 13 CCR 346.00). Secondary sites claim 5-15% for three years - unverified.</t>
        </is>
      </c>
    </row>
    <row r="17" ht="23.85" customHeight="1" s="29">
      <c r="A17" s="41" t="inlineStr">
        <is>
          <t>Paid-in-full discount / six-month term surcharge</t>
        </is>
      </c>
      <c r="B17" s="41" t="inlineStr">
        <is>
          <t>Policy</t>
        </is>
      </c>
      <c r="C17" s="41" t="inlineStr">
        <is>
          <t>California</t>
        </is>
      </c>
      <c r="D17" s="41" t="inlineStr">
        <is>
          <t>Not permitted</t>
        </is>
      </c>
      <c r="E17" s="41" t="inlineStr">
        <is>
          <t>-</t>
        </is>
      </c>
      <c r="F17" s="41" t="inlineStr">
        <is>
          <t>CDI Rate Regulation Advisory Notice 2005-02 (May 2, 2005)</t>
        </is>
      </c>
      <c r="G17" s="42" t="inlineStr">
        <is>
          <t>https://www.insurance.ca.gov/0250-insurers/0300-insurers/0200-bulletins/bulletin-notices-commiss-opinion/upload/Advisory-Notice-2005-02.pdf</t>
        </is>
      </c>
      <c r="H17" s="43" t="n">
        <v>46295</v>
      </c>
      <c r="I17" s="41" t="inlineStr">
        <is>
          <t>California</t>
        </is>
      </c>
      <c r="J17" s="41" t="inlineStr">
        <is>
          <t>Regulator-published</t>
        </is>
      </c>
      <c r="K17" s="44" t="inlineStr">
        <is>
          <t>Primary source</t>
        </is>
      </c>
      <c r="L17" s="43" t="n">
        <v>46295</v>
      </c>
      <c r="M17" s="41" t="inlineStr">
        <is>
          <t>Six-month premium must be half the annual premium; no paid-in-full discount. Notice dated May 2005; confirm still current.</t>
        </is>
      </c>
    </row>
    <row r="18" ht="23.85" customHeight="1" s="29">
      <c r="A18" s="41" t="inlineStr">
        <is>
          <t>Accident prevention course</t>
        </is>
      </c>
      <c r="B18" s="41" t="inlineStr">
        <is>
          <t>Driver</t>
        </is>
      </c>
      <c r="C18" s="41" t="inlineStr">
        <is>
          <t>New York</t>
        </is>
      </c>
      <c r="D18" s="41" t="inlineStr">
        <is>
          <t>Mandated: 3-year discount on liability, collision and no-fault</t>
        </is>
      </c>
      <c r="E18" s="41" t="inlineStr">
        <is>
          <t>Amount set by insurer; must be stated on declarations</t>
        </is>
      </c>
      <c r="F18" s="41" t="inlineStr">
        <is>
          <t>NY Dept of Financial Services - Auto Insurance Information for Consumers</t>
        </is>
      </c>
      <c r="G18" s="42" t="inlineStr">
        <is>
          <t>https://www.dfs.ny.gov/consumers/auto_insurance/Auto_resource_center</t>
        </is>
      </c>
      <c r="H18" s="43" t="n">
        <v>46295</v>
      </c>
      <c r="I18" s="41" t="inlineStr">
        <is>
          <t>New York</t>
        </is>
      </c>
      <c r="J18" s="41" t="inlineStr">
        <is>
          <t>Regulator-published</t>
        </is>
      </c>
      <c r="K18" s="44" t="inlineStr">
        <is>
          <t>Primary source</t>
        </is>
      </c>
      <c r="L18" s="43" t="n">
        <v>46295</v>
      </c>
      <c r="M18" s="41" t="inlineStr">
        <is>
          <t>Also up to a four-point reduction on the license record (DMV).</t>
        </is>
      </c>
    </row>
    <row r="19" ht="35.05" customHeight="1" s="29">
      <c r="A19" s="41" t="inlineStr">
        <is>
          <t>ABS, daytime running lamps, air bags/automatic belts</t>
        </is>
      </c>
      <c r="B19" s="41" t="inlineStr">
        <is>
          <t>Vehicle</t>
        </is>
      </c>
      <c r="C19" s="41" t="inlineStr">
        <is>
          <t>New York</t>
        </is>
      </c>
      <c r="D19" s="41" t="inlineStr">
        <is>
          <t>Required discounts on liability, collision, no-fault and med-pay as described</t>
        </is>
      </c>
      <c r="E19" s="41" t="inlineStr">
        <is>
          <t>Amount stated on declarations</t>
        </is>
      </c>
      <c r="F19" s="41" t="inlineStr">
        <is>
          <t>NY Dept of Financial Services - Auto Insurance Information for Consumers</t>
        </is>
      </c>
      <c r="G19" s="42" t="inlineStr">
        <is>
          <t>https://www.dfs.ny.gov/consumers/auto_insurance/Auto_resource_center</t>
        </is>
      </c>
      <c r="H19" s="43" t="n">
        <v>46295</v>
      </c>
      <c r="I19" s="41" t="inlineStr">
        <is>
          <t>New York</t>
        </is>
      </c>
      <c r="J19" s="41" t="inlineStr">
        <is>
          <t>Regulator-published</t>
        </is>
      </c>
      <c r="K19" s="44" t="inlineStr">
        <is>
          <t>Primary source</t>
        </is>
      </c>
      <c r="L19" s="43" t="n">
        <v>46295</v>
      </c>
      <c r="M19" s="41" t="inlineStr">
        <is>
          <t>Anti-theft, electronic tracking and window etching discounts apply to comprehensive.</t>
        </is>
      </c>
    </row>
    <row r="20" ht="35.05" customHeight="1" s="29">
      <c r="A20" s="41" t="inlineStr">
        <is>
          <t>Telematics / usage-based</t>
        </is>
      </c>
      <c r="B20" s="41" t="inlineStr">
        <is>
          <t>Usage</t>
        </is>
      </c>
      <c r="C20" s="41" t="inlineStr">
        <is>
          <t>New York</t>
        </is>
      </c>
      <c r="D20" s="41" t="inlineStr">
        <is>
          <t>Carrier-optional; data may include miles, time of day, acceleration, braking and GPS location</t>
        </is>
      </c>
      <c r="E20" s="41" t="inlineStr">
        <is>
          <t>Insurer-determined</t>
        </is>
      </c>
      <c r="F20" s="41" t="inlineStr">
        <is>
          <t>NY Dept of Financial Services - Auto Insurance Information for Consumers</t>
        </is>
      </c>
      <c r="G20" s="42" t="inlineStr">
        <is>
          <t>https://www.dfs.ny.gov/consumers/auto_insurance/Auto_resource_center</t>
        </is>
      </c>
      <c r="H20" s="43" t="n">
        <v>46295</v>
      </c>
      <c r="I20" s="41" t="inlineStr">
        <is>
          <t>New York</t>
        </is>
      </c>
      <c r="J20" s="41" t="inlineStr">
        <is>
          <t>Regulator-published</t>
        </is>
      </c>
      <c r="K20" s="44" t="inlineStr">
        <is>
          <t>Primary source</t>
        </is>
      </c>
      <c r="L20" s="43" t="n">
        <v>46295</v>
      </c>
      <c r="M20" s="41" t="inlineStr">
        <is>
          <t>Contrast with California, which bars location collection.</t>
        </is>
      </c>
    </row>
    <row r="21" ht="23.85" customHeight="1" s="29">
      <c r="A21" s="41" t="inlineStr">
        <is>
          <t>Discounts generally</t>
        </is>
      </c>
      <c r="B21" s="41" t="inlineStr">
        <is>
          <t>Policy</t>
        </is>
      </c>
      <c r="C21" s="41" t="inlineStr">
        <is>
          <t>Texas</t>
        </is>
      </c>
      <c r="D21" s="41" t="inlineStr">
        <is>
          <t>Each company decides what to offer and how much</t>
        </is>
      </c>
      <c r="E21" s="41" t="inlineStr">
        <is>
          <t>Not stated</t>
        </is>
      </c>
      <c r="F21" s="41" t="inlineStr">
        <is>
          <t>Texas Dept of Insurance - Auto insurance guide (CB020)</t>
        </is>
      </c>
      <c r="G21" s="42" t="inlineStr">
        <is>
          <t>https://www.tdi.texas.gov/pubs/consumer/cb020.html</t>
        </is>
      </c>
      <c r="H21" s="43" t="n">
        <v>46295</v>
      </c>
      <c r="I21" s="41" t="inlineStr">
        <is>
          <t>Texas</t>
        </is>
      </c>
      <c r="J21" s="41" t="inlineStr">
        <is>
          <t>Regulator-published</t>
        </is>
      </c>
      <c r="K21" s="44" t="inlineStr">
        <is>
          <t>Primary source</t>
        </is>
      </c>
      <c r="L21" s="43" t="n">
        <v>46295</v>
      </c>
      <c r="M21" s="41" t="inlineStr">
        <is>
          <t>TDI lists airbags, ABS, antitheft, defensive driving/driver education, multi-car, multi-policy, good record as examples.</t>
        </is>
      </c>
    </row>
    <row r="22" ht="23.85" customHeight="1" s="29">
      <c r="A22" s="41" t="inlineStr">
        <is>
          <t>Driver improvement course</t>
        </is>
      </c>
      <c r="B22" s="41" t="inlineStr">
        <is>
          <t>Driver</t>
        </is>
      </c>
      <c r="C22" s="41" t="inlineStr">
        <is>
          <t>Florida</t>
        </is>
      </c>
      <c r="D22" s="41" t="inlineStr">
        <is>
          <t>Permitted; discount up to 10% presumed appropriate (2003 text)</t>
        </is>
      </c>
      <c r="E22" s="41" t="inlineStr">
        <is>
          <t>Up to 10%</t>
        </is>
      </c>
      <c r="F22" s="41" t="inlineStr">
        <is>
          <t>Florida Statutes 627.06501 - Driver improvement course discount (2003 text)</t>
        </is>
      </c>
      <c r="G22" s="42" t="inlineStr">
        <is>
          <t>https://flsenate.gov/Laws/Statutes/2003/627.06501</t>
        </is>
      </c>
      <c r="H22" s="43" t="n">
        <v>46295</v>
      </c>
      <c r="I22" s="41" t="inlineStr">
        <is>
          <t>Florida</t>
        </is>
      </c>
      <c r="J22" s="41" t="inlineStr">
        <is>
          <t>Statute text</t>
        </is>
      </c>
      <c r="K22" s="44" t="inlineStr">
        <is>
          <t>Primary source</t>
        </is>
      </c>
      <c r="L22" s="43" t="n">
        <v>46295</v>
      </c>
      <c r="M22" s="41" t="inlineStr">
        <is>
          <t>Old-year text; confirm current.</t>
        </is>
      </c>
    </row>
    <row r="23" ht="46.25" customHeight="1" s="29">
      <c r="A23" s="41" t="inlineStr">
        <is>
          <t>Safety course (sections 627.0652)</t>
        </is>
      </c>
      <c r="B23" s="41" t="inlineStr">
        <is>
          <t>Driver</t>
        </is>
      </c>
      <c r="C23" s="41" t="inlineStr">
        <is>
          <t>Florida</t>
        </is>
      </c>
      <c r="D23" s="41" t="inlineStr">
        <is>
          <t>Required reduction for approved course; lasts 3 years; insurer may condition on no at-fault accident or moving violation</t>
        </is>
      </c>
      <c r="E23" s="41" t="inlineStr">
        <is>
          <t>Not stated</t>
        </is>
      </c>
      <c r="F23" s="41" t="inlineStr">
        <is>
          <t>Florida Statutes 627.0652 - Safety course discount (2012 text)</t>
        </is>
      </c>
      <c r="G23" s="42" t="inlineStr">
        <is>
          <t>https://www.flsenate.gov/laws/statutes/2012/627.0652</t>
        </is>
      </c>
      <c r="H23" s="43" t="n">
        <v>46295</v>
      </c>
      <c r="I23" s="41" t="inlineStr">
        <is>
          <t>Florida</t>
        </is>
      </c>
      <c r="J23" s="41" t="inlineStr">
        <is>
          <t>Statute text</t>
        </is>
      </c>
      <c r="K23" s="44" t="inlineStr">
        <is>
          <t>Primary source</t>
        </is>
      </c>
      <c r="L23" s="43" t="n">
        <v>46295</v>
      </c>
      <c r="M23" s="41" t="inlineStr">
        <is>
          <t>2012 text; course aimed at drivers 55+ per the text; confirm current.</t>
        </is>
      </c>
    </row>
    <row r="24" ht="23.85" customHeight="1" s="29">
      <c r="A24" s="41" t="inlineStr">
        <is>
          <t>Specified equipment discounts</t>
        </is>
      </c>
      <c r="B24" s="41" t="inlineStr">
        <is>
          <t>Vehicle</t>
        </is>
      </c>
      <c r="C24" s="41" t="inlineStr">
        <is>
          <t>Florida</t>
        </is>
      </c>
      <c r="D24" s="41" t="inlineStr">
        <is>
          <t>Section 627.0653 exists (specified motor vehicle equipment)</t>
        </is>
      </c>
      <c r="E24" s="41" t="inlineStr">
        <is>
          <t>Not read</t>
        </is>
      </c>
      <c r="F24" s="41" t="inlineStr">
        <is>
          <t>Florida Statutes Chapter 627 (2025) - table of contents</t>
        </is>
      </c>
      <c r="G24" s="42" t="inlineStr">
        <is>
          <t>https://www.flsenate.gov/Laws/Statutes/2025/Chapter627/All</t>
        </is>
      </c>
      <c r="H24" s="43" t="n">
        <v>46295</v>
      </c>
      <c r="I24" s="41" t="inlineStr">
        <is>
          <t>Florida</t>
        </is>
      </c>
      <c r="J24" s="41" t="inlineStr">
        <is>
          <t>Statute text</t>
        </is>
      </c>
      <c r="K24" s="45" t="inlineStr">
        <is>
          <t>Secondary - unverified</t>
        </is>
      </c>
      <c r="L24" s="43" t="n">
        <v>46295</v>
      </c>
      <c r="M24" s="41" t="inlineStr">
        <is>
          <t>Only the section title was seen; read the statute.</t>
        </is>
      </c>
    </row>
    <row r="25" ht="23.85" customHeight="1" s="29">
      <c r="A25" s="41" t="inlineStr">
        <is>
          <t>Senior / mature driver course</t>
        </is>
      </c>
      <c r="B25" s="41" t="inlineStr">
        <is>
          <t>Driver</t>
        </is>
      </c>
      <c r="C25" s="41" t="inlineStr">
        <is>
          <t>Varies by state</t>
        </is>
      </c>
      <c r="D25" s="41" t="inlineStr">
        <is>
          <t>Mandated in some states; otherwise carrier-optional</t>
        </is>
      </c>
      <c r="E25" s="41" t="inlineStr">
        <is>
          <t>Typically 5%-15% for 2-3 years (course providers)</t>
        </is>
      </c>
      <c r="F25" s="41" t="inlineStr">
        <is>
          <t>SafeDriver.com - Defensive driving discount 2026</t>
        </is>
      </c>
      <c r="G25" s="42" t="inlineStr">
        <is>
          <t>https://www.safedriver.com/news/defensive-driving-for-insurance-discount-2026-how-much-you-can-really-save</t>
        </is>
      </c>
      <c r="H25" s="43" t="n">
        <v>46295</v>
      </c>
      <c r="I25" s="41" t="inlineStr">
        <is>
          <t>Multi-state</t>
        </is>
      </c>
      <c r="J25" s="41" t="inlineStr">
        <is>
          <t>Reference data (secondary source)</t>
        </is>
      </c>
      <c r="K25" s="46" t="inlineStr">
        <is>
          <t>Conflicting</t>
        </is>
      </c>
      <c r="L25" s="43" t="n">
        <v>46295</v>
      </c>
      <c r="M25" s="41" t="inlineStr">
        <is>
          <t>Sources disagree on how many states mandate it ('most' vs 'many'); age threshold varies (often 55). Provider is a course seller.</t>
        </is>
      </c>
    </row>
    <row r="26" ht="23.85" customHeight="1" s="29">
      <c r="A26" s="41" t="inlineStr">
        <is>
          <t>Good student</t>
        </is>
      </c>
      <c r="B26" s="41" t="inlineStr">
        <is>
          <t>Driver</t>
        </is>
      </c>
      <c r="C26" s="41" t="inlineStr">
        <is>
          <t>All states (carrier-defined)</t>
        </is>
      </c>
      <c r="D26" s="41" t="inlineStr">
        <is>
          <t>Carrier-optional</t>
        </is>
      </c>
      <c r="E26" s="41" t="inlineStr">
        <is>
          <t>Up to 16% (Insurance.com); up to 25% (State Farm)</t>
        </is>
      </c>
      <c r="F26" s="41" t="inlineStr">
        <is>
          <t>Insurance.com - Auto insurance discounts guide</t>
        </is>
      </c>
      <c r="G26" s="42" t="inlineStr">
        <is>
          <t>https://www.insurance.com/auto-insurance/car-insurance-discounts.html</t>
        </is>
      </c>
      <c r="H26" s="43" t="n">
        <v>46295</v>
      </c>
      <c r="I26" s="41" t="inlineStr">
        <is>
          <t>Multi-state</t>
        </is>
      </c>
      <c r="J26" s="41" t="inlineStr">
        <is>
          <t>Reference data (secondary source)</t>
        </is>
      </c>
      <c r="K26" s="45" t="inlineStr">
        <is>
          <t>Secondary - unverified</t>
        </is>
      </c>
      <c r="L26" s="43" t="n">
        <v>46295</v>
      </c>
      <c r="M26" s="41" t="inlineStr">
        <is>
          <t>Usually needs B / 3.0 average; age cap often 23-25.</t>
        </is>
      </c>
    </row>
    <row r="27" ht="23.85" customHeight="1" s="29">
      <c r="A27" s="41" t="inlineStr">
        <is>
          <t>Multi-policy (bundling)</t>
        </is>
      </c>
      <c r="B27" s="41" t="inlineStr">
        <is>
          <t>Policy</t>
        </is>
      </c>
      <c r="C27" s="41" t="inlineStr">
        <is>
          <t>All states (carrier-defined)</t>
        </is>
      </c>
      <c r="D27" s="41" t="inlineStr">
        <is>
          <t>Carrier-optional</t>
        </is>
      </c>
      <c r="E27" s="41" t="inlineStr">
        <is>
          <t>About 9% on auto on average (Insurance.com)</t>
        </is>
      </c>
      <c r="F27" s="41" t="inlineStr">
        <is>
          <t>Insurance.com - Auto insurance discounts guide</t>
        </is>
      </c>
      <c r="G27" s="42" t="inlineStr">
        <is>
          <t>https://www.insurance.com/auto-insurance/car-insurance-discounts.html</t>
        </is>
      </c>
      <c r="H27" s="43" t="n">
        <v>46295</v>
      </c>
      <c r="I27" s="41" t="inlineStr">
        <is>
          <t>Multi-state</t>
        </is>
      </c>
      <c r="J27" s="41" t="inlineStr">
        <is>
          <t>Reference data (secondary source)</t>
        </is>
      </c>
      <c r="K27" s="45" t="inlineStr">
        <is>
          <t>Secondary - unverified</t>
        </is>
      </c>
      <c r="L27" s="43" t="n">
        <v>46295</v>
      </c>
      <c r="M27" s="41" t="inlineStr">
        <is>
          <t>Also gives a discount on the home policy.</t>
        </is>
      </c>
    </row>
    <row r="28" ht="23.85" customHeight="1" s="29">
      <c r="A28" s="41" t="inlineStr">
        <is>
          <t>Safe driver / good driver</t>
        </is>
      </c>
      <c r="B28" s="41" t="inlineStr">
        <is>
          <t>Driver</t>
        </is>
      </c>
      <c r="C28" s="41" t="inlineStr">
        <is>
          <t>All states (carrier-defined)</t>
        </is>
      </c>
      <c r="D28" s="41" t="inlineStr">
        <is>
          <t>Carrier-optional</t>
        </is>
      </c>
      <c r="E28" s="41" t="inlineStr">
        <is>
          <t>Up to 30% (Insurance.com)</t>
        </is>
      </c>
      <c r="F28" s="41" t="inlineStr">
        <is>
          <t>Insurance.com - Auto insurance discounts guide</t>
        </is>
      </c>
      <c r="G28" s="42" t="inlineStr">
        <is>
          <t>https://www.insurance.com/auto-insurance/car-insurance-discounts.html</t>
        </is>
      </c>
      <c r="H28" s="43" t="n">
        <v>46295</v>
      </c>
      <c r="I28" s="41" t="inlineStr">
        <is>
          <t>Multi-state</t>
        </is>
      </c>
      <c r="J28" s="41" t="inlineStr">
        <is>
          <t>Reference data (secondary source)</t>
        </is>
      </c>
      <c r="K28" s="45" t="inlineStr">
        <is>
          <t>Secondary - unverified</t>
        </is>
      </c>
      <c r="L28" s="43" t="n">
        <v>46295</v>
      </c>
      <c r="M28" s="41" t="inlineStr">
        <is>
          <t>Definition varies by insurer.</t>
        </is>
      </c>
    </row>
    <row r="29" ht="23.85" customHeight="1" s="29">
      <c r="A29" s="41" t="inlineStr">
        <is>
          <t>Group / affinity membership</t>
        </is>
      </c>
      <c r="B29" s="41" t="inlineStr">
        <is>
          <t>Policy</t>
        </is>
      </c>
      <c r="C29" s="41" t="inlineStr">
        <is>
          <t>All states (carrier-defined)</t>
        </is>
      </c>
      <c r="D29" s="41" t="inlineStr">
        <is>
          <t>Carrier-optional</t>
        </is>
      </c>
      <c r="E29" s="41" t="inlineStr">
        <is>
          <t>Up to 25% (Insurance.com)</t>
        </is>
      </c>
      <c r="F29" s="41" t="inlineStr">
        <is>
          <t>Insurance.com - Auto insurance discounts guide</t>
        </is>
      </c>
      <c r="G29" s="42" t="inlineStr">
        <is>
          <t>https://www.insurance.com/auto-insurance/car-insurance-discounts.html</t>
        </is>
      </c>
      <c r="H29" s="43" t="n">
        <v>46295</v>
      </c>
      <c r="I29" s="41" t="inlineStr">
        <is>
          <t>Multi-state</t>
        </is>
      </c>
      <c r="J29" s="41" t="inlineStr">
        <is>
          <t>Reference data (secondary source)</t>
        </is>
      </c>
      <c r="K29" s="45" t="inlineStr">
        <is>
          <t>Secondary - unverified</t>
        </is>
      </c>
      <c r="L29" s="43" t="n">
        <v>46295</v>
      </c>
      <c r="M29" s="41" t="n"/>
    </row>
    <row r="30" ht="23.85" customHeight="1" s="29">
      <c r="A30" s="41" t="inlineStr">
        <is>
          <t>Driver education under age 21</t>
        </is>
      </c>
      <c r="B30" s="41" t="inlineStr">
        <is>
          <t>Driver</t>
        </is>
      </c>
      <c r="C30" s="41" t="inlineStr">
        <is>
          <t>Varies by state (State Farm)</t>
        </is>
      </c>
      <c r="D30" s="41" t="inlineStr">
        <is>
          <t>Carrier-optional</t>
        </is>
      </c>
      <c r="E30" s="41" t="inlineStr">
        <is>
          <t>Not stated</t>
        </is>
      </c>
      <c r="F30" s="41" t="inlineStr">
        <is>
          <t>State Farm - Auto insurance discounts</t>
        </is>
      </c>
      <c r="G30" s="42" t="inlineStr">
        <is>
          <t>https://www.statefarm.com/insurance/auto/discounts</t>
        </is>
      </c>
      <c r="H30" s="43" t="n">
        <v>46295</v>
      </c>
      <c r="I30" s="41" t="inlineStr">
        <is>
          <t>Multi-state</t>
        </is>
      </c>
      <c r="J30" s="41" t="inlineStr">
        <is>
          <t>Carrier-published</t>
        </is>
      </c>
      <c r="K30" s="44" t="inlineStr">
        <is>
          <t>Primary source</t>
        </is>
      </c>
      <c r="L30" s="43" t="n">
        <v>46295</v>
      </c>
      <c r="M30" s="41" t="inlineStr">
        <is>
          <t>State Farm states discounts vary by state.</t>
        </is>
      </c>
    </row>
    <row r="31" ht="23.85" customHeight="1" s="29">
      <c r="A31" s="41" t="inlineStr">
        <is>
          <t>Telematics / usage-based</t>
        </is>
      </c>
      <c r="B31" s="41" t="inlineStr">
        <is>
          <t>Usage</t>
        </is>
      </c>
      <c r="C31" s="41" t="inlineStr">
        <is>
          <t>Varies by carrier and state</t>
        </is>
      </c>
      <c r="D31" s="41" t="inlineStr">
        <is>
          <t>Carrier-optional</t>
        </is>
      </c>
      <c r="E31" s="41" t="inlineStr">
        <is>
          <t>See Telematics tab</t>
        </is>
      </c>
      <c r="F31" s="41" t="inlineStr">
        <is>
          <t>Insurify - Telematics car insurance programs</t>
        </is>
      </c>
      <c r="G31" s="42" t="inlineStr">
        <is>
          <t>https://insurify.com/car-insurance/coverage/telematics/</t>
        </is>
      </c>
      <c r="H31" s="43" t="n">
        <v>46295</v>
      </c>
      <c r="I31" s="41" t="inlineStr">
        <is>
          <t>Multi-state</t>
        </is>
      </c>
      <c r="J31" s="41" t="inlineStr">
        <is>
          <t>Reference data (secondary source)</t>
        </is>
      </c>
      <c r="K31" s="45" t="inlineStr">
        <is>
          <t>Secondary - unverified</t>
        </is>
      </c>
      <c r="L31" s="43" t="n">
        <v>46295</v>
      </c>
      <c r="M31" s="41" t="inlineStr">
        <is>
          <t>States have their own laws on how telematics data may be used in rating.</t>
        </is>
      </c>
    </row>
    <row r="32">
      <c r="A32" s="28" t="inlineStr">
        <is>
          <t>Required hurricane-mitigation discount (shutters, windows, doors)</t>
        </is>
      </c>
      <c r="B32" s="28" t="inlineStr">
        <is>
          <t>Property / Mitigation</t>
        </is>
      </c>
      <c r="C32" s="28" t="inlineStr">
        <is>
          <t>New York</t>
        </is>
      </c>
      <c r="D32" s="28" t="inlineStr">
        <is>
          <t>Mandated: insurers must provide discounts for hurricane-resistant shutters and hurricane-resistant windows and doors</t>
        </is>
      </c>
      <c r="E32" s="28" t="inlineStr">
        <is>
          <t>Amount not stated</t>
        </is>
      </c>
      <c r="F32" s="28" t="inlineStr">
        <is>
          <t>NY Dept of Financial Services - Ways to Save on Homeowners Insurance</t>
        </is>
      </c>
      <c r="G32" s="28" t="inlineStr">
        <is>
          <t>https://www.dfs.ny.gov/system/files/documents/2026/02/Ways-to-Save-Homeowners-Insurance.pdf</t>
        </is>
      </c>
      <c r="H32" s="48" t="n">
        <v>46296</v>
      </c>
      <c r="I32" s="28" t="inlineStr">
        <is>
          <t>New York</t>
        </is>
      </c>
      <c r="J32" s="28" t="inlineStr">
        <is>
          <t>Regulator-published</t>
        </is>
      </c>
      <c r="K32" s="28" t="inlineStr">
        <is>
          <t>Primary source</t>
        </is>
      </c>
      <c r="L32" s="48" t="n">
        <v>46296</v>
      </c>
      <c r="M32" s="28" t="inlineStr">
        <is>
          <t>Home insurance discount; distinct from NY's existing auto discount list.</t>
        </is>
      </c>
    </row>
  </sheetData>
  <autoFilter ref="A1:M31"/>
  <dataValidations count="1">
    <dataValidation sqref="K2:K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G2" display="https://www.dfs.ny.gov/consumers/auto_insurance/discounts_list" r:id="rId1"/>
    <hyperlink xmlns:r="http://schemas.openxmlformats.org/officeDocument/2006/relationships" ref="G3" display="https://www.dfs.ny.gov/consumers/auto_insurance/discounts_list" r:id="rId2"/>
    <hyperlink xmlns:r="http://schemas.openxmlformats.org/officeDocument/2006/relationships" ref="G4" display="https://www.dfs.ny.gov/consumers/auto_insurance/discounts_list" r:id="rId3"/>
    <hyperlink xmlns:r="http://schemas.openxmlformats.org/officeDocument/2006/relationships" ref="G5" display="https://www.dfs.ny.gov/consumers/auto_insurance/discounts_list" r:id="rId4"/>
    <hyperlink xmlns:r="http://schemas.openxmlformats.org/officeDocument/2006/relationships" ref="G6" display="https://www.dfs.ny.gov/consumers/auto_insurance/discounts_list" r:id="rId5"/>
    <hyperlink xmlns:r="http://schemas.openxmlformats.org/officeDocument/2006/relationships" ref="G7" display="https://www.dfs.ny.gov/consumers/auto_insurance/discounts_list" r:id="rId6"/>
    <hyperlink xmlns:r="http://schemas.openxmlformats.org/officeDocument/2006/relationships" ref="G8" display="https://www.moneygeek.com/insurance/auto/defensive-driver-courses/" r:id="rId7"/>
    <hyperlink xmlns:r="http://schemas.openxmlformats.org/officeDocument/2006/relationships" ref="G9" display="https://www.moneygeek.com/insurance/auto/defensive-driver-courses/" r:id="rId8"/>
    <hyperlink xmlns:r="http://schemas.openxmlformats.org/officeDocument/2006/relationships" ref="G10" display="https://www.geico.com/save/discounts/defensive-driver-discounts/" r:id="rId9"/>
    <hyperlink xmlns:r="http://schemas.openxmlformats.org/officeDocument/2006/relationships" ref="G11" display="https://www.geico.com/save/discounts/defensive-driver-discounts/" r:id="rId10"/>
    <hyperlink xmlns:r="http://schemas.openxmlformats.org/officeDocument/2006/relationships" ref="G12" display="https://www.geico.com/save/discounts/defensive-driver-discounts/" r:id="rId11"/>
    <hyperlink xmlns:r="http://schemas.openxmlformats.org/officeDocument/2006/relationships" ref="G13" display="https://www.moneygeek.com/insurance/auto/defensive-driver-courses/" r:id="rId12"/>
    <hyperlink xmlns:r="http://schemas.openxmlformats.org/officeDocument/2006/relationships" ref="G14" display="https://www.insurance.ca.gov/01-consumers/105-type/95-guides/01-auto/auto101.cfm" r:id="rId13"/>
    <hyperlink xmlns:r="http://schemas.openxmlformats.org/officeDocument/2006/relationships" ref="G15" display="https://www.insurance.ca.gov/0250-insurers/0300-insurers/0200-bulletins/bulletin-notices-commiss-opinion/upload/Advisory-Notice-2005-02.pdf" r:id="rId14"/>
    <hyperlink xmlns:r="http://schemas.openxmlformats.org/officeDocument/2006/relationships" ref="G16" display="https://codes.findlaw.com/ca/insurance-code/ins-sect-11628-3/" r:id="rId15"/>
    <hyperlink xmlns:r="http://schemas.openxmlformats.org/officeDocument/2006/relationships" ref="G17" display="https://www.insurance.ca.gov/0250-insurers/0300-insurers/0200-bulletins/bulletin-notices-commiss-opinion/upload/Advisory-Notice-2005-02.pdf" r:id="rId16"/>
    <hyperlink xmlns:r="http://schemas.openxmlformats.org/officeDocument/2006/relationships" ref="G18" display="https://www.dfs.ny.gov/consumers/auto_insurance/Auto_resource_center" r:id="rId17"/>
    <hyperlink xmlns:r="http://schemas.openxmlformats.org/officeDocument/2006/relationships" ref="G19" display="https://www.dfs.ny.gov/consumers/auto_insurance/Auto_resource_center" r:id="rId18"/>
    <hyperlink xmlns:r="http://schemas.openxmlformats.org/officeDocument/2006/relationships" ref="G20" display="https://www.dfs.ny.gov/consumers/auto_insurance/Auto_resource_center" r:id="rId19"/>
    <hyperlink xmlns:r="http://schemas.openxmlformats.org/officeDocument/2006/relationships" ref="G21" display="https://www.tdi.texas.gov/pubs/consumer/cb020.html" r:id="rId20"/>
    <hyperlink xmlns:r="http://schemas.openxmlformats.org/officeDocument/2006/relationships" ref="G22" display="https://flsenate.gov/Laws/Statutes/2003/627.06501" r:id="rId21"/>
    <hyperlink xmlns:r="http://schemas.openxmlformats.org/officeDocument/2006/relationships" ref="G23" display="https://www.flsenate.gov/laws/statutes/2012/627.0652" r:id="rId22"/>
    <hyperlink xmlns:r="http://schemas.openxmlformats.org/officeDocument/2006/relationships" ref="G24" display="https://www.flsenate.gov/Laws/Statutes/2025/Chapter627/All" r:id="rId23"/>
    <hyperlink xmlns:r="http://schemas.openxmlformats.org/officeDocument/2006/relationships" ref="G25" display="https://www.safedriver.com/news/defensive-driving-for-insurance-discount-2026-how-much-you-can-really-save" r:id="rId24"/>
    <hyperlink xmlns:r="http://schemas.openxmlformats.org/officeDocument/2006/relationships" ref="G26" display="https://www.insurance.com/auto-insurance/car-insurance-discounts.html" r:id="rId25"/>
    <hyperlink xmlns:r="http://schemas.openxmlformats.org/officeDocument/2006/relationships" ref="G27" display="https://www.insurance.com/auto-insurance/car-insurance-discounts.html" r:id="rId26"/>
    <hyperlink xmlns:r="http://schemas.openxmlformats.org/officeDocument/2006/relationships" ref="G28" display="https://www.insurance.com/auto-insurance/car-insurance-discounts.html" r:id="rId27"/>
    <hyperlink xmlns:r="http://schemas.openxmlformats.org/officeDocument/2006/relationships" ref="G29" display="https://www.insurance.com/auto-insurance/car-insurance-discounts.html" r:id="rId28"/>
    <hyperlink xmlns:r="http://schemas.openxmlformats.org/officeDocument/2006/relationships" ref="G30" display="https://www.statefarm.com/insurance/auto/discounts" r:id="rId29"/>
    <hyperlink xmlns:r="http://schemas.openxmlformats.org/officeDocument/2006/relationships" ref="G31" display="https://insurify.com/car-insurance/coverage/telematics/" r:id="rId3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4" customWidth="1" style="28" min="2" max="2"/>
    <col width="18" customWidth="1" style="28" min="3" max="3"/>
    <col width="32" customWidth="1" style="28" min="4" max="4"/>
    <col width="30" customWidth="1" style="28" min="5" max="5"/>
    <col width="20" customWidth="1" style="28" min="6" max="6"/>
    <col width="40" customWidth="1" style="28" min="7" max="7"/>
    <col width="34" customWidth="1" style="28" min="8" max="8"/>
    <col width="42" customWidth="1" style="28" min="9" max="9"/>
    <col width="12" customWidth="1" style="28" min="10" max="10"/>
    <col width="20" customWidth="1" style="28" min="11" max="11"/>
    <col width="24" customWidth="1" style="28" min="12" max="12"/>
    <col width="20" customWidth="1" style="28" min="13" max="13"/>
    <col width="12" customWidth="1" style="28" min="14" max="14"/>
    <col width="60" customWidth="1" style="28" min="15" max="15"/>
  </cols>
  <sheetData>
    <row r="1" ht="31.5" customHeight="1" s="29">
      <c r="A1" s="40" t="inlineStr">
        <is>
          <t>Carrier</t>
        </is>
      </c>
      <c r="B1" s="40" t="inlineStr">
        <is>
          <t>Program</t>
        </is>
      </c>
      <c r="C1" s="40" t="inlineStr">
        <is>
          <t>Type</t>
        </is>
      </c>
      <c r="D1" s="40" t="inlineStr">
        <is>
          <t>State Availability</t>
        </is>
      </c>
      <c r="E1" s="40" t="inlineStr">
        <is>
          <t>Max / Reported Discount</t>
        </is>
      </c>
      <c r="F1" s="40" t="inlineStr">
        <is>
          <t>Enrollment Discount</t>
        </is>
      </c>
      <c r="G1" s="40" t="inlineStr">
        <is>
          <t>Surcharge Possible?</t>
        </is>
      </c>
      <c r="H1" s="40" t="inlineStr">
        <is>
          <t>Source</t>
        </is>
      </c>
      <c r="I1" s="40" t="inlineStr">
        <is>
          <t>Source URL</t>
        </is>
      </c>
      <c r="J1" s="40" t="inlineStr">
        <is>
          <t>Date Collected</t>
        </is>
      </c>
      <c r="K1" s="40" t="inlineStr">
        <is>
          <t>Geographic Scope</t>
        </is>
      </c>
      <c r="L1" s="40" t="inlineStr">
        <is>
          <t>Data Type</t>
        </is>
      </c>
      <c r="M1" s="40" t="inlineStr">
        <is>
          <t>Verification Status</t>
        </is>
      </c>
      <c r="N1" s="40" t="inlineStr">
        <is>
          <t>Last Updated</t>
        </is>
      </c>
      <c r="O1" s="40" t="inlineStr">
        <is>
          <t>Notes</t>
        </is>
      </c>
    </row>
    <row r="2" ht="23.85" customHeight="1" s="29">
      <c r="A2" s="41" t="inlineStr">
        <is>
          <t>Progressive</t>
        </is>
      </c>
      <c r="B2" s="41" t="inlineStr">
        <is>
          <t>Snapshot</t>
        </is>
      </c>
      <c r="C2" s="41" t="inlineStr">
        <is>
          <t>App or plug-in device</t>
        </is>
      </c>
      <c r="D2" s="41" t="inlineStr">
        <is>
          <t>All states except California (Bankrate)</t>
        </is>
      </c>
      <c r="E2" s="41" t="inlineStr">
        <is>
          <t>Progressive: average $322 savings at renewal (reported)</t>
        </is>
      </c>
      <c r="F2" s="41" t="inlineStr">
        <is>
          <t>Not stated</t>
        </is>
      </c>
      <c r="G2" s="41" t="inlineStr">
        <is>
          <t>Yes - in some states (Progressive terms); ~20% of users see an increase at renewal (InsureMojo)</t>
        </is>
      </c>
      <c r="H2" s="41" t="inlineStr">
        <is>
          <t>Bankrate - Are telematics programs worth the discount</t>
        </is>
      </c>
      <c r="I2" s="42" t="inlineStr">
        <is>
          <t>https://www.bankrate.com/insurance/car/are-telematics-programs-worth-the-discount/</t>
        </is>
      </c>
      <c r="J2" s="43" t="n">
        <v>46295</v>
      </c>
      <c r="K2" s="41" t="inlineStr">
        <is>
          <t>US (not CA)</t>
        </is>
      </c>
      <c r="L2" s="41" t="inlineStr">
        <is>
          <t>Reference data (secondary source)</t>
        </is>
      </c>
      <c r="M2" s="46" t="inlineStr">
        <is>
          <t>Conflicting</t>
        </is>
      </c>
      <c r="N2" s="43" t="n">
        <v>46295</v>
      </c>
      <c r="O2" s="41" t="inlineStr">
        <is>
          <t>Surcharge details differ by source; confirm in state filing. Widely available (47+ states per Insurify).</t>
        </is>
      </c>
    </row>
    <row r="3" ht="23.85" customHeight="1" s="29">
      <c r="A3" s="41" t="inlineStr">
        <is>
          <t>State Farm</t>
        </is>
      </c>
      <c r="B3" s="41" t="inlineStr">
        <is>
          <t>Drive Safe &amp; Save</t>
        </is>
      </c>
      <c r="C3" s="41" t="inlineStr">
        <is>
          <t>App / mileage-based</t>
        </is>
      </c>
      <c r="D3" s="41" t="inlineStr">
        <is>
          <t>At least 47 states (Insurify)</t>
        </is>
      </c>
      <c r="E3" s="41" t="inlineStr">
        <is>
          <t>Up to 30%</t>
        </is>
      </c>
      <c r="F3" s="41" t="inlineStr">
        <is>
          <t>10% enrollment (InsureMojo)</t>
        </is>
      </c>
      <c r="G3" s="41" t="inlineStr">
        <is>
          <t>State Farm says no surcharge; Insurify says some programs can raise rates</t>
        </is>
      </c>
      <c r="H3" s="41" t="inlineStr">
        <is>
          <t>Insurify - Telematics car insurance programs</t>
        </is>
      </c>
      <c r="I3" s="42" t="inlineStr">
        <is>
          <t>https://insurify.com/car-insurance/coverage/telematics/</t>
        </is>
      </c>
      <c r="J3" s="43" t="n">
        <v>46295</v>
      </c>
      <c r="K3" s="41" t="inlineStr">
        <is>
          <t>US (47+ states)</t>
        </is>
      </c>
      <c r="L3" s="41" t="inlineStr">
        <is>
          <t>Reference data (secondary source)</t>
        </is>
      </c>
      <c r="M3" s="46" t="inlineStr">
        <is>
          <t>Conflicting</t>
        </is>
      </c>
      <c r="N3" s="43" t="n">
        <v>46295</v>
      </c>
      <c r="O3" s="41" t="inlineStr">
        <is>
          <t>Conflict on surcharge; idarb also notes program can change prior low-mileage discount.</t>
        </is>
      </c>
    </row>
    <row r="4" ht="23.85" customHeight="1" s="29">
      <c r="A4" s="41" t="inlineStr">
        <is>
          <t>Nationwide</t>
        </is>
      </c>
      <c r="B4" s="41" t="inlineStr">
        <is>
          <t>SmartRide</t>
        </is>
      </c>
      <c r="C4" s="41" t="inlineStr">
        <is>
          <t>Device / app</t>
        </is>
      </c>
      <c r="D4" s="41" t="inlineStr">
        <is>
          <t>At least 47 states (Insurify)</t>
        </is>
      </c>
      <c r="E4" s="41" t="inlineStr">
        <is>
          <t>Up to 40%</t>
        </is>
      </c>
      <c r="F4" s="41" t="inlineStr">
        <is>
          <t>10% enrollment (InsureMojo)</t>
        </is>
      </c>
      <c r="G4" s="41" t="inlineStr">
        <is>
          <t>Not stated</t>
        </is>
      </c>
      <c r="H4" s="41" t="inlineStr">
        <is>
          <t>InsureMojo - Telematics discount programs compared</t>
        </is>
      </c>
      <c r="I4" s="42" t="inlineStr">
        <is>
          <t>https://www.insuremojo.com/telematics-insurance-discount-programs/</t>
        </is>
      </c>
      <c r="J4" s="43" t="n">
        <v>46295</v>
      </c>
      <c r="K4" s="41" t="inlineStr">
        <is>
          <t>US (47+ states)</t>
        </is>
      </c>
      <c r="L4" s="41" t="inlineStr">
        <is>
          <t>Reference data (secondary source)</t>
        </is>
      </c>
      <c r="M4" s="45" t="inlineStr">
        <is>
          <t>Secondary - unverified</t>
        </is>
      </c>
      <c r="N4" s="43" t="n">
        <v>46295</v>
      </c>
      <c r="O4" s="41" t="inlineStr">
        <is>
          <t>InsureMojo says SmartRide does not track phone use.</t>
        </is>
      </c>
    </row>
    <row r="5" ht="23.85" customHeight="1" s="29">
      <c r="A5" s="41" t="inlineStr">
        <is>
          <t>GEICO</t>
        </is>
      </c>
      <c r="B5" s="41" t="inlineStr">
        <is>
          <t>DriveEasy</t>
        </is>
      </c>
      <c r="C5" s="41" t="inlineStr">
        <is>
          <t>App</t>
        </is>
      </c>
      <c r="D5" s="41" t="inlineStr">
        <is>
          <t>Not captured</t>
        </is>
      </c>
      <c r="E5" s="41" t="inlineStr">
        <is>
          <t>Not stated</t>
        </is>
      </c>
      <c r="F5" s="41" t="inlineStr">
        <is>
          <t>Not stated</t>
        </is>
      </c>
      <c r="G5" s="41" t="inlineStr">
        <is>
          <t>Insurify says can raise rates</t>
        </is>
      </c>
      <c r="H5" s="41" t="inlineStr">
        <is>
          <t>Insurify - Telematics car insurance programs</t>
        </is>
      </c>
      <c r="I5" s="42" t="inlineStr">
        <is>
          <t>https://insurify.com/car-insurance/coverage/telematics/</t>
        </is>
      </c>
      <c r="J5" s="43" t="n">
        <v>46295</v>
      </c>
      <c r="K5" s="41" t="inlineStr">
        <is>
          <t>Multi-state</t>
        </is>
      </c>
      <c r="L5" s="41" t="inlineStr">
        <is>
          <t>Reference data (secondary source)</t>
        </is>
      </c>
      <c r="M5" s="45" t="inlineStr">
        <is>
          <t>Secondary - unverified</t>
        </is>
      </c>
      <c r="N5" s="43" t="n">
        <v>46295</v>
      </c>
      <c r="O5" s="41" t="inlineStr">
        <is>
          <t>Uses driver scores to set safe-driver discounts.</t>
        </is>
      </c>
    </row>
    <row r="6" ht="23.85" customHeight="1" s="29">
      <c r="A6" s="41" t="inlineStr">
        <is>
          <t>Allstate</t>
        </is>
      </c>
      <c r="B6" s="41" t="inlineStr">
        <is>
          <t>Drivewise</t>
        </is>
      </c>
      <c r="C6" s="41" t="inlineStr">
        <is>
          <t>App / device</t>
        </is>
      </c>
      <c r="D6" s="41" t="inlineStr">
        <is>
          <t>All states except Alaska and California (Bankrate)</t>
        </is>
      </c>
      <c r="E6" s="41" t="inlineStr">
        <is>
          <t>Not stated</t>
        </is>
      </c>
      <c r="F6" s="41" t="inlineStr">
        <is>
          <t>Not stated</t>
        </is>
      </c>
      <c r="G6" s="41" t="inlineStr">
        <is>
          <t>Not stated</t>
        </is>
      </c>
      <c r="H6" s="41" t="inlineStr">
        <is>
          <t>Bankrate - Are telematics programs worth the discount</t>
        </is>
      </c>
      <c r="I6" s="42" t="inlineStr">
        <is>
          <t>https://www.bankrate.com/insurance/car/are-telematics-programs-worth-the-discount/</t>
        </is>
      </c>
      <c r="J6" s="43" t="n">
        <v>46295</v>
      </c>
      <c r="K6" s="41" t="inlineStr">
        <is>
          <t>US (not AK, CA)</t>
        </is>
      </c>
      <c r="L6" s="41" t="inlineStr">
        <is>
          <t>Reference data (secondary source)</t>
        </is>
      </c>
      <c r="M6" s="45" t="inlineStr">
        <is>
          <t>Secondary - unverified</t>
        </is>
      </c>
      <c r="N6" s="43" t="n">
        <v>46295</v>
      </c>
      <c r="O6" s="41" t="inlineStr">
        <is>
          <t>Based on three factors: speeding, hard braking, late-night driving.</t>
        </is>
      </c>
    </row>
    <row r="7" ht="23.85" customHeight="1" s="29">
      <c r="A7" s="41" t="inlineStr">
        <is>
          <t>Allstate</t>
        </is>
      </c>
      <c r="B7" s="41" t="inlineStr">
        <is>
          <t>Milewise</t>
        </is>
      </c>
      <c r="C7" s="41" t="inlineStr">
        <is>
          <t>Pay-per-mile</t>
        </is>
      </c>
      <c r="D7" s="41" t="inlineStr">
        <is>
          <t>Not captured</t>
        </is>
      </c>
      <c r="E7" s="41" t="inlineStr">
        <is>
          <t>Not stated</t>
        </is>
      </c>
      <c r="F7" s="41" t="inlineStr">
        <is>
          <t>Not stated</t>
        </is>
      </c>
      <c r="G7" s="41" t="inlineStr">
        <is>
          <t>Not stated</t>
        </is>
      </c>
      <c r="H7" s="41" t="inlineStr">
        <is>
          <t>Bankrate - Are telematics programs worth the discount</t>
        </is>
      </c>
      <c r="I7" s="42" t="inlineStr">
        <is>
          <t>https://www.bankrate.com/insurance/car/are-telematics-programs-worth-the-discount/</t>
        </is>
      </c>
      <c r="J7" s="43" t="n">
        <v>46295</v>
      </c>
      <c r="K7" s="41" t="inlineStr">
        <is>
          <t>Multi-state</t>
        </is>
      </c>
      <c r="L7" s="41" t="inlineStr">
        <is>
          <t>Reference data (secondary source)</t>
        </is>
      </c>
      <c r="M7" s="45" t="inlineStr">
        <is>
          <t>Secondary - unverified</t>
        </is>
      </c>
      <c r="N7" s="43" t="n">
        <v>46295</v>
      </c>
      <c r="O7" s="41" t="inlineStr">
        <is>
          <t>Designed for low-mileage drivers.</t>
        </is>
      </c>
    </row>
    <row r="8" ht="23.85" customHeight="1" s="29">
      <c r="A8" s="41" t="inlineStr">
        <is>
          <t>Nationwide</t>
        </is>
      </c>
      <c r="B8" s="41" t="inlineStr">
        <is>
          <t>SmartMiles</t>
        </is>
      </c>
      <c r="C8" s="41" t="inlineStr">
        <is>
          <t>Pay-per-mile</t>
        </is>
      </c>
      <c r="D8" s="41" t="inlineStr">
        <is>
          <t>Not captured</t>
        </is>
      </c>
      <c r="E8" s="41" t="inlineStr">
        <is>
          <t>Not stated</t>
        </is>
      </c>
      <c r="F8" s="41" t="inlineStr">
        <is>
          <t>Not stated</t>
        </is>
      </c>
      <c r="G8" s="41" t="inlineStr">
        <is>
          <t>Not stated</t>
        </is>
      </c>
      <c r="H8" s="41" t="inlineStr">
        <is>
          <t>Bankrate - Are telematics programs worth the discount</t>
        </is>
      </c>
      <c r="I8" s="42" t="inlineStr">
        <is>
          <t>https://www.bankrate.com/insurance/car/are-telematics-programs-worth-the-discount/</t>
        </is>
      </c>
      <c r="J8" s="43" t="n">
        <v>46295</v>
      </c>
      <c r="K8" s="41" t="inlineStr">
        <is>
          <t>Multi-state</t>
        </is>
      </c>
      <c r="L8" s="41" t="inlineStr">
        <is>
          <t>Reference data (secondary source)</t>
        </is>
      </c>
      <c r="M8" s="45" t="inlineStr">
        <is>
          <t>Secondary - unverified</t>
        </is>
      </c>
      <c r="N8" s="43" t="n">
        <v>46295</v>
      </c>
      <c r="O8" s="41" t="n"/>
    </row>
    <row r="9" ht="23.85" customHeight="1" s="29">
      <c r="A9" s="41" t="inlineStr">
        <is>
          <t>Liberty Mutual / USAA / Travelers</t>
        </is>
      </c>
      <c r="B9" s="41" t="inlineStr">
        <is>
          <t>RightTrack / SafePilot / IntelliDrive</t>
        </is>
      </c>
      <c r="C9" s="41" t="inlineStr">
        <is>
          <t>Various</t>
        </is>
      </c>
      <c r="D9" s="41" t="inlineStr">
        <is>
          <t>Not captured</t>
        </is>
      </c>
      <c r="E9" s="41" t="inlineStr">
        <is>
          <t>Not captured</t>
        </is>
      </c>
      <c r="F9" s="41" t="inlineStr">
        <is>
          <t>Not captured</t>
        </is>
      </c>
      <c r="G9" s="41" t="inlineStr">
        <is>
          <t>Not captured</t>
        </is>
      </c>
      <c r="H9" s="41" t="inlineStr">
        <is>
          <t>QuoteYeti - Telematics tradeoffs</t>
        </is>
      </c>
      <c r="I9" s="42" t="inlineStr">
        <is>
          <t>https://www.quoteyeti.com/blog/telematics-tradeoffs/</t>
        </is>
      </c>
      <c r="J9" s="43" t="n">
        <v>46295</v>
      </c>
      <c r="K9" s="41" t="inlineStr">
        <is>
          <t>Multi-state</t>
        </is>
      </c>
      <c r="L9" s="41" t="inlineStr">
        <is>
          <t>Reference data (secondary source)</t>
        </is>
      </c>
      <c r="M9" s="47" t="inlineStr">
        <is>
          <t>Not researched</t>
        </is>
      </c>
      <c r="N9" s="43" t="n">
        <v>46295</v>
      </c>
      <c r="O9" s="41" t="inlineStr">
        <is>
          <t>Named as existing programs only; terms not researched.</t>
        </is>
      </c>
    </row>
    <row r="10" ht="23.85" customHeight="1" s="29">
      <c r="A10" s="41" t="inlineStr">
        <is>
          <t>All carriers</t>
        </is>
      </c>
      <c r="B10" s="41" t="inlineStr">
        <is>
          <t>New York rule</t>
        </is>
      </c>
      <c r="C10" s="41" t="inlineStr">
        <is>
          <t>Any telematics program</t>
        </is>
      </c>
      <c r="D10" s="41" t="inlineStr">
        <is>
          <t>New York</t>
        </is>
      </c>
      <c r="E10" s="41" t="inlineStr">
        <is>
          <t>Insurer-determined</t>
        </is>
      </c>
      <c r="F10" s="41" t="inlineStr">
        <is>
          <t>Insurer-determined</t>
        </is>
      </c>
      <c r="G10" s="41" t="inlineStr">
        <is>
          <t>Not stated</t>
        </is>
      </c>
      <c r="H10" s="41" t="inlineStr">
        <is>
          <t>NY Dept of Financial Services - Auto Insurance Information for Consumers</t>
        </is>
      </c>
      <c r="I10" s="42" t="inlineStr">
        <is>
          <t>https://www.dfs.ny.gov/consumers/auto_insurance/Auto_resource_center</t>
        </is>
      </c>
      <c r="J10" s="43" t="n">
        <v>46295</v>
      </c>
      <c r="K10" s="41" t="inlineStr">
        <is>
          <t>New York</t>
        </is>
      </c>
      <c r="L10" s="41" t="inlineStr">
        <is>
          <t>Regulator-published</t>
        </is>
      </c>
      <c r="M10" s="44" t="inlineStr">
        <is>
          <t>Primary source</t>
        </is>
      </c>
      <c r="N10" s="43" t="n">
        <v>46295</v>
      </c>
      <c r="O10" s="41" t="inlineStr">
        <is>
          <t>DFS says discounts may use GPS location, miles, time of day, acceleration and braking data.</t>
        </is>
      </c>
    </row>
    <row r="11" ht="23.85" customHeight="1" s="29">
      <c r="A11" s="41" t="inlineStr">
        <is>
          <t>All carriers</t>
        </is>
      </c>
      <c r="B11" s="41" t="inlineStr">
        <is>
          <t>Texas note</t>
        </is>
      </c>
      <c r="C11" s="41" t="inlineStr">
        <is>
          <t>Any telematics program</t>
        </is>
      </c>
      <c r="D11" s="41" t="inlineStr">
        <is>
          <t>Texas</t>
        </is>
      </c>
      <c r="E11" s="41" t="inlineStr">
        <is>
          <t>Not stated</t>
        </is>
      </c>
      <c r="F11" s="41" t="inlineStr">
        <is>
          <t>Not stated</t>
        </is>
      </c>
      <c r="G11" s="41" t="inlineStr">
        <is>
          <t>Not stated</t>
        </is>
      </c>
      <c r="H11" s="41" t="inlineStr">
        <is>
          <t>Texas Dept of Insurance - Auto insurance guide (CB020)</t>
        </is>
      </c>
      <c r="I11" s="42" t="inlineStr">
        <is>
          <t>https://www.tdi.texas.gov/pubs/consumer/cb020.html</t>
        </is>
      </c>
      <c r="J11" s="43" t="n">
        <v>46295</v>
      </c>
      <c r="K11" s="41" t="inlineStr">
        <is>
          <t>Texas</t>
        </is>
      </c>
      <c r="L11" s="41" t="inlineStr">
        <is>
          <t>Regulator-published</t>
        </is>
      </c>
      <c r="M11" s="47" t="inlineStr">
        <is>
          <t>Not researched</t>
        </is>
      </c>
      <c r="N11" s="43" t="n">
        <v>46295</v>
      </c>
      <c r="O11" s="41" t="inlineStr">
        <is>
          <t>TDI links a page on how driving can lower premiums; not read.</t>
        </is>
      </c>
    </row>
  </sheetData>
  <autoFilter ref="A1:O11"/>
  <dataValidations count="1">
    <dataValidation sqref="M2:M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I2" display="https://www.bankrate.com/insurance/car/are-telematics-programs-worth-the-discount/" r:id="rId1"/>
    <hyperlink xmlns:r="http://schemas.openxmlformats.org/officeDocument/2006/relationships" ref="I3" display="https://insurify.com/car-insurance/coverage/telematics/" r:id="rId2"/>
    <hyperlink xmlns:r="http://schemas.openxmlformats.org/officeDocument/2006/relationships" ref="I4" display="https://www.insuremojo.com/telematics-insurance-discount-programs/" r:id="rId3"/>
    <hyperlink xmlns:r="http://schemas.openxmlformats.org/officeDocument/2006/relationships" ref="I5" display="https://insurify.com/car-insurance/coverage/telematics/" r:id="rId4"/>
    <hyperlink xmlns:r="http://schemas.openxmlformats.org/officeDocument/2006/relationships" ref="I6" display="https://www.bankrate.com/insurance/car/are-telematics-programs-worth-the-discount/" r:id="rId5"/>
    <hyperlink xmlns:r="http://schemas.openxmlformats.org/officeDocument/2006/relationships" ref="I7" display="https://www.bankrate.com/insurance/car/are-telematics-programs-worth-the-discount/" r:id="rId6"/>
    <hyperlink xmlns:r="http://schemas.openxmlformats.org/officeDocument/2006/relationships" ref="I8" display="https://www.bankrate.com/insurance/car/are-telematics-programs-worth-the-discount/" r:id="rId7"/>
    <hyperlink xmlns:r="http://schemas.openxmlformats.org/officeDocument/2006/relationships" ref="I9" display="https://www.quoteyeti.com/blog/telematics-tradeoffs/" r:id="rId8"/>
    <hyperlink xmlns:r="http://schemas.openxmlformats.org/officeDocument/2006/relationships" ref="I10" display="https://www.dfs.ny.gov/consumers/auto_insurance/Auto_resource_center" r:id="rId9"/>
    <hyperlink xmlns:r="http://schemas.openxmlformats.org/officeDocument/2006/relationships" ref="I11" display="https://www.tdi.texas.gov/pubs/consumer/cb020.html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L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8" min="1" max="1"/>
    <col width="44" customWidth="1" style="28" min="2" max="2"/>
    <col width="30" customWidth="1" style="28" min="3" max="3"/>
    <col width="44" customWidth="1" style="28" min="4" max="4"/>
    <col width="34" customWidth="1" style="28" min="5" max="5"/>
    <col width="42" customWidth="1" style="28" min="6" max="6"/>
    <col width="12" customWidth="1" style="28" min="7" max="7"/>
    <col width="20" customWidth="1" style="28" min="8" max="8"/>
    <col width="24" customWidth="1" style="28" min="9" max="9"/>
    <col width="20" customWidth="1" style="28" min="10" max="10"/>
    <col width="12" customWidth="1" style="28" min="11" max="11"/>
    <col width="60" customWidth="1" style="28" min="12" max="12"/>
  </cols>
  <sheetData>
    <row r="1" ht="31.5" customHeight="1" s="29">
      <c r="A1" s="40" t="inlineStr">
        <is>
          <t>Coverage</t>
        </is>
      </c>
      <c r="B1" s="40" t="inlineStr">
        <is>
          <t>Item</t>
        </is>
      </c>
      <c r="C1" s="40" t="inlineStr">
        <is>
          <t>Value</t>
        </is>
      </c>
      <c r="D1" s="40" t="inlineStr">
        <is>
          <t>Unit / Detail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35.05" customHeight="1" s="29">
      <c r="A2" s="41" t="inlineStr">
        <is>
          <t>Auto (all)</t>
        </is>
      </c>
      <c r="B2" s="41" t="inlineStr">
        <is>
          <t>'Full coverage' is not a real policy type</t>
        </is>
      </c>
      <c r="C2" s="41" t="inlineStr">
        <is>
          <t>-</t>
        </is>
      </c>
      <c r="D2" s="41" t="inlineStr">
        <is>
          <t>NAIC says there is no such thing as 'full coverage'; use specific coverages (liability, collision, comprehensive).</t>
        </is>
      </c>
      <c r="E2" s="41" t="inlineStr">
        <is>
          <t>NAIC Consumer Shopping Tool for Auto Insurance</t>
        </is>
      </c>
      <c r="F2" s="42" t="inlineStr">
        <is>
          <t>https://content.naic.org/sites/default/files/consumer-auto-shopping-tool.pdf</t>
        </is>
      </c>
      <c r="G2" s="43" t="n">
        <v>46295</v>
      </c>
      <c r="H2" s="41" t="inlineStr">
        <is>
          <t>US</t>
        </is>
      </c>
      <c r="I2" s="41" t="inlineStr">
        <is>
          <t>Regulator-published</t>
        </is>
      </c>
      <c r="J2" s="44" t="inlineStr">
        <is>
          <t>Primary source</t>
        </is>
      </c>
      <c r="K2" s="43" t="n">
        <v>46295</v>
      </c>
      <c r="L2" s="41" t="inlineStr">
        <is>
          <t>Use in UI wording.</t>
        </is>
      </c>
    </row>
    <row r="3" ht="23.85" customHeight="1" s="29">
      <c r="A3" s="41" t="inlineStr">
        <is>
          <t>Flood - NFIP</t>
        </is>
      </c>
      <c r="B3" s="41" t="inlineStr">
        <is>
          <t>Residential building limit (1-4 family)</t>
        </is>
      </c>
      <c r="C3" s="41" t="n">
        <v>250000</v>
      </c>
      <c r="D3" s="41" t="inlineStr">
        <is>
          <t>USD</t>
        </is>
      </c>
      <c r="E3" s="41" t="inlineStr">
        <is>
          <t>Lenders Network - Flood insurance mortgage requirements 2026</t>
        </is>
      </c>
      <c r="F3" s="42" t="inlineStr">
        <is>
          <t>https://thelendersnetwork.com/flood-insurance-mortgage-requirements/</t>
        </is>
      </c>
      <c r="G3" s="43" t="n">
        <v>46295</v>
      </c>
      <c r="H3" s="41" t="inlineStr">
        <is>
          <t>US</t>
        </is>
      </c>
      <c r="I3" s="41" t="inlineStr">
        <is>
          <t>Reference data (secondary source)</t>
        </is>
      </c>
      <c r="J3" s="45" t="inlineStr">
        <is>
          <t>Secondary - unverified</t>
        </is>
      </c>
      <c r="K3" s="43" t="n">
        <v>46295</v>
      </c>
      <c r="L3" s="41" t="inlineStr">
        <is>
          <t>Widely reported across sources; confirm on FEMA/FloodSmart.</t>
        </is>
      </c>
    </row>
    <row r="4" ht="23.85" customHeight="1" s="29">
      <c r="A4" s="41" t="inlineStr">
        <is>
          <t>Flood - NFIP</t>
        </is>
      </c>
      <c r="B4" s="41" t="inlineStr">
        <is>
          <t>Residential contents limit</t>
        </is>
      </c>
      <c r="C4" s="41" t="n">
        <v>100000</v>
      </c>
      <c r="D4" s="41" t="inlineStr">
        <is>
          <t>USD</t>
        </is>
      </c>
      <c r="E4" s="41" t="inlineStr">
        <is>
          <t>Lenders Network - Flood insurance mortgage requirements 2026</t>
        </is>
      </c>
      <c r="F4" s="42" t="inlineStr">
        <is>
          <t>https://thelendersnetwork.com/flood-insurance-mortgage-requirements/</t>
        </is>
      </c>
      <c r="G4" s="43" t="n">
        <v>46295</v>
      </c>
      <c r="H4" s="41" t="inlineStr">
        <is>
          <t>US</t>
        </is>
      </c>
      <c r="I4" s="41" t="inlineStr">
        <is>
          <t>Reference data (secondary source)</t>
        </is>
      </c>
      <c r="J4" s="45" t="inlineStr">
        <is>
          <t>Secondary - unverified</t>
        </is>
      </c>
      <c r="K4" s="43" t="n">
        <v>46295</v>
      </c>
      <c r="L4" s="41" t="inlineStr">
        <is>
          <t>Contents paid on actual-cash-value basis (per Atesa).</t>
        </is>
      </c>
    </row>
    <row r="5" ht="23.85" customHeight="1" s="29">
      <c r="A5" s="41" t="inlineStr">
        <is>
          <t>Flood - NFIP</t>
        </is>
      </c>
      <c r="B5" s="41" t="inlineStr">
        <is>
          <t>Waiting period</t>
        </is>
      </c>
      <c r="C5" s="41" t="inlineStr">
        <is>
          <t>30</t>
        </is>
      </c>
      <c r="D5" s="41" t="inlineStr">
        <is>
          <t>days; waived when bought with a mortgage closing</t>
        </is>
      </c>
      <c r="E5" s="41" t="inlineStr">
        <is>
          <t>Lenders Network - Flood insurance mortgage requirements 2026</t>
        </is>
      </c>
      <c r="F5" s="42" t="inlineStr">
        <is>
          <t>https://thelendersnetwork.com/flood-insurance-mortgage-requirements/</t>
        </is>
      </c>
      <c r="G5" s="43" t="n">
        <v>46295</v>
      </c>
      <c r="H5" s="41" t="inlineStr">
        <is>
          <t>US</t>
        </is>
      </c>
      <c r="I5" s="41" t="inlineStr">
        <is>
          <t>Reference data (secondary source)</t>
        </is>
      </c>
      <c r="J5" s="45" t="inlineStr">
        <is>
          <t>Secondary - unverified</t>
        </is>
      </c>
      <c r="K5" s="43" t="n">
        <v>46295</v>
      </c>
      <c r="L5" s="41" t="n"/>
    </row>
    <row r="6" ht="23.85" customHeight="1" s="29">
      <c r="A6" s="41" t="inlineStr">
        <is>
          <t>Flood - NFIP</t>
        </is>
      </c>
      <c r="B6" s="41" t="inlineStr">
        <is>
          <t>Average annual premium</t>
        </is>
      </c>
      <c r="C6" s="41" t="inlineStr">
        <is>
          <t>$900-$1,100</t>
        </is>
      </c>
      <c r="D6" s="41" t="inlineStr">
        <is>
          <t>USD/year</t>
        </is>
      </c>
      <c r="E6" s="41" t="inlineStr">
        <is>
          <t>Lenders Network - Flood insurance mortgage requirements 2026</t>
        </is>
      </c>
      <c r="F6" s="42" t="inlineStr">
        <is>
          <t>https://thelendersnetwork.com/flood-insurance-mortgage-requirements/</t>
        </is>
      </c>
      <c r="G6" s="43" t="n">
        <v>46295</v>
      </c>
      <c r="H6" s="41" t="inlineStr">
        <is>
          <t>US</t>
        </is>
      </c>
      <c r="I6" s="41" t="inlineStr">
        <is>
          <t>Estimate</t>
        </is>
      </c>
      <c r="J6" s="45" t="inlineStr">
        <is>
          <t>Secondary - unverified</t>
        </is>
      </c>
      <c r="K6" s="43" t="n">
        <v>46295</v>
      </c>
      <c r="L6" s="41" t="inlineStr">
        <is>
          <t>WalletGrower cites $926; Cover Forge about $900.</t>
        </is>
      </c>
    </row>
    <row r="7" ht="23.85" customHeight="1" s="29">
      <c r="A7" s="41" t="inlineStr">
        <is>
          <t>Flood - NFIP</t>
        </is>
      </c>
      <c r="B7" s="41" t="inlineStr">
        <is>
          <t>Annual premium increase cap under Risk Rating 2.0</t>
        </is>
      </c>
      <c r="C7" s="41" t="inlineStr">
        <is>
          <t>18%</t>
        </is>
      </c>
      <c r="D7" s="41" t="inlineStr">
        <is>
          <t>per year (WalletGrower citing federal law)</t>
        </is>
      </c>
      <c r="E7" s="41" t="inlineStr">
        <is>
          <t>WalletGrower - Flood insurance 2026</t>
        </is>
      </c>
      <c r="F7" s="42" t="inlineStr">
        <is>
          <t>https://walletgrower.com/insurance/homeowners-insurance/flood-insurance</t>
        </is>
      </c>
      <c r="G7" s="43" t="n">
        <v>46295</v>
      </c>
      <c r="H7" s="41" t="inlineStr">
        <is>
          <t>US</t>
        </is>
      </c>
      <c r="I7" s="41" t="inlineStr">
        <is>
          <t>Reference data (secondary source)</t>
        </is>
      </c>
      <c r="J7" s="45" t="inlineStr">
        <is>
          <t>Secondary - unverified</t>
        </is>
      </c>
      <c r="K7" s="43" t="n">
        <v>46295</v>
      </c>
      <c r="L7" s="41" t="inlineStr">
        <is>
          <t>Affiliate-linked source; verify with FEMA.</t>
        </is>
      </c>
    </row>
    <row r="8" ht="23.85" customHeight="1" s="29">
      <c r="A8" s="41" t="inlineStr">
        <is>
          <t>Flood - NFIP</t>
        </is>
      </c>
      <c r="B8" s="41" t="inlineStr">
        <is>
          <t>Share of claims from outside high-risk zones</t>
        </is>
      </c>
      <c r="C8" s="41" t="inlineStr">
        <is>
          <t>20% to 40%+</t>
        </is>
      </c>
      <c r="D8" s="41" t="inlineStr">
        <is>
          <t>varies by source</t>
        </is>
      </c>
      <c r="E8" s="41" t="inlineStr">
        <is>
          <t>Atesa Risk Advisors - Private flood vs NFIP (Florida)</t>
        </is>
      </c>
      <c r="F8" s="42" t="inlineStr">
        <is>
          <t>https://atesariskadvisors.com/blog/florida-private-flood-insurance-vs-nfip-2026</t>
        </is>
      </c>
      <c r="G8" s="43" t="n">
        <v>46295</v>
      </c>
      <c r="H8" s="41" t="inlineStr">
        <is>
          <t>US</t>
        </is>
      </c>
      <c r="I8" s="41" t="inlineStr">
        <is>
          <t>Estimate</t>
        </is>
      </c>
      <c r="J8" s="46" t="inlineStr">
        <is>
          <t>Conflicting</t>
        </is>
      </c>
      <c r="K8" s="43" t="n">
        <v>46295</v>
      </c>
      <c r="L8" s="41" t="inlineStr">
        <is>
          <t>Cover Forge says ~20%; Atesa says over 40%. Find FEMA figure.</t>
        </is>
      </c>
    </row>
    <row r="9" ht="35.05" customHeight="1" s="29">
      <c r="A9" s="41" t="inlineStr">
        <is>
          <t>Flood - NFIP</t>
        </is>
      </c>
      <c r="B9" s="41" t="inlineStr">
        <is>
          <t>Authorization status</t>
        </is>
      </c>
      <c r="C9" s="41" t="inlineStr">
        <is>
          <t>Authorized through Dec 11, 2026</t>
        </is>
      </c>
      <c r="D9" s="41" t="inlineStr">
        <is>
          <t>Continuing Appropriations Act, 2027 (P.L. 119-103, Div. A) section 139</t>
        </is>
      </c>
      <c r="E9" s="41" t="inlineStr">
        <is>
          <t>CRS - Overview of Continuing Appropriations for FY2027 (P.L. 119-103, Div. A)</t>
        </is>
      </c>
      <c r="F9" s="42" t="inlineStr">
        <is>
          <t>https://www.congress.gov/crs-product/R49353</t>
        </is>
      </c>
      <c r="G9" s="43" t="n">
        <v>46295</v>
      </c>
      <c r="H9" s="41" t="inlineStr">
        <is>
          <t>US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inlineStr">
        <is>
          <t>Resolved: the Sept 30, 2026 deadline was extended to Dec 11, 2026. Prior lapses stalled new and renewed NFIP policies; private flood is unaffected. Check again before Dec 11, 2026.</t>
        </is>
      </c>
    </row>
    <row r="10" ht="23.85" customHeight="1" s="29">
      <c r="A10" s="41" t="inlineStr">
        <is>
          <t>Flood - Private</t>
        </is>
      </c>
      <c r="B10" s="41" t="inlineStr">
        <is>
          <t>Building limits</t>
        </is>
      </c>
      <c r="C10" s="41" t="inlineStr">
        <is>
          <t>Often above $1,000,000</t>
        </is>
      </c>
      <c r="D10" s="41" t="inlineStr">
        <is>
          <t>USD</t>
        </is>
      </c>
      <c r="E10" s="41" t="inlineStr">
        <is>
          <t>WalletGrower - Flood insurance 2026</t>
        </is>
      </c>
      <c r="F10" s="42" t="inlineStr">
        <is>
          <t>https://walletgrower.com/insurance/homeowners-insurance/flood-insurance</t>
        </is>
      </c>
      <c r="G10" s="43" t="n">
        <v>46295</v>
      </c>
      <c r="H10" s="41" t="inlineStr">
        <is>
          <t>US</t>
        </is>
      </c>
      <c r="I10" s="41" t="inlineStr">
        <is>
          <t>Reference data (secondary source)</t>
        </is>
      </c>
      <c r="J10" s="45" t="inlineStr">
        <is>
          <t>Secondary - unverified</t>
        </is>
      </c>
      <c r="K10" s="43" t="n">
        <v>46295</v>
      </c>
      <c r="L10" s="41" t="n"/>
    </row>
    <row r="11" ht="23.85" customHeight="1" s="29">
      <c r="A11" s="41" t="inlineStr">
        <is>
          <t>Flood - Private</t>
        </is>
      </c>
      <c r="B11" s="41" t="inlineStr">
        <is>
          <t>Waiting period</t>
        </is>
      </c>
      <c r="C11" s="41" t="inlineStr">
        <is>
          <t>10-14</t>
        </is>
      </c>
      <c r="D11" s="41" t="inlineStr">
        <is>
          <t>days (some shorter)</t>
        </is>
      </c>
      <c r="E11" s="41" t="inlineStr">
        <is>
          <t>WalletGrower - Flood insurance 2026</t>
        </is>
      </c>
      <c r="F11" s="42" t="inlineStr">
        <is>
          <t>https://walletgrower.com/insurance/homeowners-insurance/flood-insurance</t>
        </is>
      </c>
      <c r="G11" s="43" t="n">
        <v>46295</v>
      </c>
      <c r="H11" s="41" t="inlineStr">
        <is>
          <t>US</t>
        </is>
      </c>
      <c r="I11" s="41" t="inlineStr">
        <is>
          <t>Reference data (secondary source)</t>
        </is>
      </c>
      <c r="J11" s="45" t="inlineStr">
        <is>
          <t>Secondary - unverified</t>
        </is>
      </c>
      <c r="K11" s="43" t="n">
        <v>46295</v>
      </c>
      <c r="L11" s="41" t="n"/>
    </row>
    <row r="12" ht="23.85" customHeight="1" s="29">
      <c r="A12" s="41" t="inlineStr">
        <is>
          <t>Earthquake - CEA</t>
        </is>
      </c>
      <c r="B12" s="41" t="inlineStr">
        <is>
          <t>Deductible options</t>
        </is>
      </c>
      <c r="C12" s="41" t="inlineStr">
        <is>
          <t>5%, 10%, 15%, 20%, 25%</t>
        </is>
      </c>
      <c r="D12" s="41" t="inlineStr">
        <is>
          <t>of dwelling coverage</t>
        </is>
      </c>
      <c r="E12" s="41" t="inlineStr">
        <is>
          <t>California Earthquake Authority - Homeowners policies</t>
        </is>
      </c>
      <c r="F12" s="42" t="inlineStr">
        <is>
          <t>https://www.earthquakeauthority.com/california-earthquake-insurance-policies/homeowners</t>
        </is>
      </c>
      <c r="G12" s="43" t="n">
        <v>46295</v>
      </c>
      <c r="H12" s="41" t="inlineStr">
        <is>
          <t>California</t>
        </is>
      </c>
      <c r="I12" s="41" t="inlineStr">
        <is>
          <t>Regulator-published</t>
        </is>
      </c>
      <c r="J12" s="44" t="inlineStr">
        <is>
          <t>Primary source</t>
        </is>
      </c>
      <c r="K12" s="43" t="n">
        <v>46295</v>
      </c>
      <c r="L12" s="41" t="inlineStr">
        <is>
          <t>Homes over $1M dwelling limit, or pre-1980 raised-foundation homes without verified retrofit, only 15%-25%.</t>
        </is>
      </c>
    </row>
    <row r="13" ht="23.85" customHeight="1" s="29">
      <c r="A13" s="41" t="inlineStr">
        <is>
          <t>Earthquake - CEA</t>
        </is>
      </c>
      <c r="B13" s="41" t="inlineStr">
        <is>
          <t>Standard deductible</t>
        </is>
      </c>
      <c r="C13" s="41" t="inlineStr">
        <is>
          <t>15%</t>
        </is>
      </c>
      <c r="D13" s="41" t="inlineStr">
        <is>
          <t>of dwelling coverage</t>
        </is>
      </c>
      <c r="E13" s="41" t="inlineStr">
        <is>
          <t>Express Financial - Earthquake insurance in California</t>
        </is>
      </c>
      <c r="F13" s="42" t="inlineStr">
        <is>
          <t>https://expressfinancial.net/p/earthquake-insurance-california</t>
        </is>
      </c>
      <c r="G13" s="43" t="n">
        <v>46295</v>
      </c>
      <c r="H13" s="41" t="inlineStr">
        <is>
          <t>California</t>
        </is>
      </c>
      <c r="I13" s="41" t="inlineStr">
        <is>
          <t>Reference data (secondary source)</t>
        </is>
      </c>
      <c r="J13" s="45" t="inlineStr">
        <is>
          <t>Secondary - unverified</t>
        </is>
      </c>
      <c r="K13" s="43" t="n">
        <v>46295</v>
      </c>
      <c r="L13" s="41" t="n"/>
    </row>
    <row r="14" ht="23.85" customHeight="1" s="29">
      <c r="A14" s="41" t="inlineStr">
        <is>
          <t>Earthquake - CEA</t>
        </is>
      </c>
      <c r="B14" s="41" t="inlineStr">
        <is>
          <t>Retrofit premium discount</t>
        </is>
      </c>
      <c r="C14" s="41" t="inlineStr">
        <is>
          <t>Up to 25%</t>
        </is>
      </c>
      <c r="D14" s="41" t="inlineStr">
        <is>
          <t>of premium</t>
        </is>
      </c>
      <c r="E14" s="41" t="inlineStr">
        <is>
          <t>California Earthquake Authority - Homeowners policies</t>
        </is>
      </c>
      <c r="F14" s="42" t="inlineStr">
        <is>
          <t>https://www.earthquakeauthority.com/california-earthquake-insurance-policies/homeowners</t>
        </is>
      </c>
      <c r="G14" s="43" t="n">
        <v>46295</v>
      </c>
      <c r="H14" s="41" t="inlineStr">
        <is>
          <t>California</t>
        </is>
      </c>
      <c r="I14" s="41" t="inlineStr">
        <is>
          <t>Regulator-published</t>
        </is>
      </c>
      <c r="J14" s="44" t="inlineStr">
        <is>
          <t>Primary source</t>
        </is>
      </c>
      <c r="K14" s="43" t="n">
        <v>46295</v>
      </c>
      <c r="L14" s="41" t="n"/>
    </row>
    <row r="15" ht="23.85" customHeight="1" s="29">
      <c r="A15" s="41" t="inlineStr">
        <is>
          <t>Earthquake - CEA</t>
        </is>
      </c>
      <c r="B15" s="41" t="inlineStr">
        <is>
          <t>Loss of use deductible</t>
        </is>
      </c>
      <c r="C15" s="41" t="inlineStr">
        <is>
          <t>None</t>
        </is>
      </c>
      <c r="D15" s="41" t="inlineStr">
        <is>
          <t>-</t>
        </is>
      </c>
      <c r="E15" s="41" t="inlineStr">
        <is>
          <t>California Earthquake Authority - Homeowners policies</t>
        </is>
      </c>
      <c r="F15" s="42" t="inlineStr">
        <is>
          <t>https://www.earthquakeauthority.com/california-earthquake-insurance-policies/homeowners</t>
        </is>
      </c>
      <c r="G15" s="43" t="n">
        <v>46295</v>
      </c>
      <c r="H15" s="41" t="inlineStr">
        <is>
          <t>California</t>
        </is>
      </c>
      <c r="I15" s="41" t="inlineStr">
        <is>
          <t>Regulator-published</t>
        </is>
      </c>
      <c r="J15" s="44" t="inlineStr">
        <is>
          <t>Primary source</t>
        </is>
      </c>
      <c r="K15" s="43" t="n">
        <v>46295</v>
      </c>
      <c r="L15" s="41" t="n"/>
    </row>
    <row r="16" ht="23.85" customHeight="1" s="29">
      <c r="A16" s="41" t="inlineStr">
        <is>
          <t>Earthquake - CA law</t>
        </is>
      </c>
      <c r="B16" s="41" t="inlineStr">
        <is>
          <t>Insurers must offer earthquake coverage</t>
        </is>
      </c>
      <c r="C16" s="41" t="inlineStr">
        <is>
          <t>Re-offer every other year if declined</t>
        </is>
      </c>
      <c r="D16" s="41" t="inlineStr">
        <is>
          <t>Insurance Code chapter 8.5 (per source)</t>
        </is>
      </c>
      <c r="E16" s="41" t="inlineStr">
        <is>
          <t>Express Financial - Earthquake insurance in California</t>
        </is>
      </c>
      <c r="F16" s="42" t="inlineStr">
        <is>
          <t>https://expressfinancial.net/p/earthquake-insurance-california</t>
        </is>
      </c>
      <c r="G16" s="43" t="n">
        <v>46295</v>
      </c>
      <c r="H16" s="41" t="inlineStr">
        <is>
          <t>California</t>
        </is>
      </c>
      <c r="I16" s="41" t="inlineStr">
        <is>
          <t>Reference data (secondary source)</t>
        </is>
      </c>
      <c r="J16" s="45" t="inlineStr">
        <is>
          <t>Secondary - unverified</t>
        </is>
      </c>
      <c r="K16" s="43" t="n">
        <v>46295</v>
      </c>
      <c r="L16" s="41" t="inlineStr">
        <is>
          <t>Confirm statute with CDI.</t>
        </is>
      </c>
    </row>
    <row r="17" ht="23.85" customHeight="1" s="29">
      <c r="A17" s="41" t="inlineStr">
        <is>
          <t>Earthquake - CEA</t>
        </is>
      </c>
      <c r="B17" s="41" t="inlineStr">
        <is>
          <t>Typical annual premium</t>
        </is>
      </c>
      <c r="C17" s="41" t="inlineStr">
        <is>
          <t>$800-$5,000+</t>
        </is>
      </c>
      <c r="D17" s="41" t="inlineStr">
        <is>
          <t>USD/year</t>
        </is>
      </c>
      <c r="E17" s="41" t="inlineStr">
        <is>
          <t>EarthquakeNearMe - CA earthquake insurance cost</t>
        </is>
      </c>
      <c r="F17" s="42" t="inlineStr">
        <is>
          <t>https://www.earthquakenearme.com/en/blog/earthquake-insurance-california</t>
        </is>
      </c>
      <c r="G17" s="43" t="n">
        <v>46295</v>
      </c>
      <c r="H17" s="41" t="inlineStr">
        <is>
          <t>California</t>
        </is>
      </c>
      <c r="I17" s="41" t="inlineStr">
        <is>
          <t>Estimate</t>
        </is>
      </c>
      <c r="J17" s="45" t="inlineStr">
        <is>
          <t>Secondary - unverified</t>
        </is>
      </c>
      <c r="K17" s="43" t="n">
        <v>46295</v>
      </c>
      <c r="L17" s="41" t="inlineStr">
        <is>
          <t>Low-reliability source; get CEA premium calculator quotes.</t>
        </is>
      </c>
    </row>
    <row r="18" ht="23.85" customHeight="1" s="29">
      <c r="A18" s="41" t="inlineStr">
        <is>
          <t>Earthquake - CA</t>
        </is>
      </c>
      <c r="B18" s="41" t="inlineStr">
        <is>
          <t>Share of homeowners carrying coverage</t>
        </is>
      </c>
      <c r="C18" s="41" t="inlineStr">
        <is>
          <t>About 13%</t>
        </is>
      </c>
      <c r="D18" s="41" t="inlineStr">
        <is>
          <t>of CA homeowners</t>
        </is>
      </c>
      <c r="E18" s="41" t="inlineStr">
        <is>
          <t>EarthquakeNearMe - CA earthquake insurance cost</t>
        </is>
      </c>
      <c r="F18" s="42" t="inlineStr">
        <is>
          <t>https://www.earthquakenearme.com/en/blog/earthquake-insurance-california</t>
        </is>
      </c>
      <c r="G18" s="43" t="n">
        <v>46295</v>
      </c>
      <c r="H18" s="41" t="inlineStr">
        <is>
          <t>California</t>
        </is>
      </c>
      <c r="I18" s="41" t="inlineStr">
        <is>
          <t>Estimate</t>
        </is>
      </c>
      <c r="J18" s="45" t="inlineStr">
        <is>
          <t>Secondary - unverified</t>
        </is>
      </c>
      <c r="K18" s="43" t="n">
        <v>46295</v>
      </c>
      <c r="L18" s="41" t="inlineStr">
        <is>
          <t>Low-reliability source.</t>
        </is>
      </c>
    </row>
    <row r="19" ht="23.85" customHeight="1" s="29">
      <c r="A19" s="41" t="inlineStr">
        <is>
          <t>Earthquake</t>
        </is>
      </c>
      <c r="B19" s="41" t="inlineStr">
        <is>
          <t>Standard homeowners policies</t>
        </is>
      </c>
      <c r="C19" s="41" t="inlineStr">
        <is>
          <t>Exclude earthquake damage</t>
        </is>
      </c>
      <c r="D19" s="41" t="inlineStr">
        <is>
          <t>-</t>
        </is>
      </c>
      <c r="E19" s="41" t="inlineStr">
        <is>
          <t>Express Financial - Earthquake insurance in California</t>
        </is>
      </c>
      <c r="F19" s="42" t="inlineStr">
        <is>
          <t>https://expressfinancial.net/p/earthquake-insurance-california</t>
        </is>
      </c>
      <c r="G19" s="43" t="n">
        <v>46295</v>
      </c>
      <c r="H19" s="41" t="inlineStr">
        <is>
          <t>US</t>
        </is>
      </c>
      <c r="I19" s="41" t="inlineStr">
        <is>
          <t>Reference data (secondary source)</t>
        </is>
      </c>
      <c r="J19" s="45" t="inlineStr">
        <is>
          <t>Secondary - unverified</t>
        </is>
      </c>
      <c r="K19" s="43" t="n">
        <v>46295</v>
      </c>
      <c r="L19" s="41" t="inlineStr">
        <is>
          <t>HOA master policies also commonly exclude it (same source).</t>
        </is>
      </c>
    </row>
    <row r="20" ht="23.85" customHeight="1" s="29">
      <c r="A20" s="41" t="inlineStr">
        <is>
          <t>Umbrella</t>
        </is>
      </c>
      <c r="B20" s="41" t="inlineStr">
        <is>
          <t>$1M personal umbrella annual cost</t>
        </is>
      </c>
      <c r="C20" s="41" t="inlineStr">
        <is>
          <t>$200-$500 typical; over $1,000 possible</t>
        </is>
      </c>
      <c r="D20" s="41" t="inlineStr">
        <is>
          <t>USD/year</t>
        </is>
      </c>
      <c r="E20" s="41" t="inlineStr">
        <is>
          <t>NerdWallet - Umbrella insurance guide</t>
        </is>
      </c>
      <c r="F20" s="42" t="inlineStr">
        <is>
          <t>https://www.nerdwallet.com/insurance/homeowners/learn/umbrella-insurance</t>
        </is>
      </c>
      <c r="G20" s="43" t="n">
        <v>46295</v>
      </c>
      <c r="H20" s="41" t="inlineStr">
        <is>
          <t>US</t>
        </is>
      </c>
      <c r="I20" s="41" t="inlineStr">
        <is>
          <t>Estimate</t>
        </is>
      </c>
      <c r="J20" s="45" t="inlineStr">
        <is>
          <t>Secondary - unverified</t>
        </is>
      </c>
      <c r="K20" s="43" t="n">
        <v>46295</v>
      </c>
      <c r="L20" s="41" t="inlineStr">
        <is>
          <t>Kiplinger/Trusted Choice: average about $380 for $1-2M.</t>
        </is>
      </c>
    </row>
    <row r="21" ht="23.85" customHeight="1" s="29">
      <c r="A21" s="41" t="inlineStr">
        <is>
          <t>Umbrella</t>
        </is>
      </c>
      <c r="B21" s="41" t="inlineStr">
        <is>
          <t>Cost of each additional $1M</t>
        </is>
      </c>
      <c r="C21" s="41" t="inlineStr">
        <is>
          <t>$50-$150</t>
        </is>
      </c>
      <c r="D21" s="41" t="inlineStr">
        <is>
          <t>USD/year</t>
        </is>
      </c>
      <c r="E21" s="41" t="inlineStr">
        <is>
          <t>Real Cost Report - Umbrella insurance cost 2026</t>
        </is>
      </c>
      <c r="F21" s="42" t="inlineStr">
        <is>
          <t>https://www.realcostreport.com/insurance/home-insurance/umbrella-insurance-cost/</t>
        </is>
      </c>
      <c r="G21" s="43" t="n">
        <v>46295</v>
      </c>
      <c r="H21" s="41" t="inlineStr">
        <is>
          <t>US</t>
        </is>
      </c>
      <c r="I21" s="41" t="inlineStr">
        <is>
          <t>Estimate</t>
        </is>
      </c>
      <c r="J21" s="46" t="inlineStr">
        <is>
          <t>Conflicting</t>
        </is>
      </c>
      <c r="K21" s="43" t="n">
        <v>46295</v>
      </c>
      <c r="L21" s="41" t="inlineStr">
        <is>
          <t>Real Cost Report says $50-$75; UseCalcPro says $75-$150.</t>
        </is>
      </c>
    </row>
    <row r="22" ht="23.85" customHeight="1" s="29">
      <c r="A22" s="41" t="inlineStr">
        <is>
          <t>Umbrella</t>
        </is>
      </c>
      <c r="B22" s="41" t="inlineStr">
        <is>
          <t>Typical required underlying auto limits</t>
        </is>
      </c>
      <c r="C22" s="41" t="inlineStr">
        <is>
          <t>250/500/100</t>
        </is>
      </c>
      <c r="D22" s="41" t="inlineStr">
        <is>
          <t>BI per person / per accident / PD</t>
        </is>
      </c>
      <c r="E22" s="41" t="inlineStr">
        <is>
          <t>UseCalcPro - Umbrella quote calculator</t>
        </is>
      </c>
      <c r="F22" s="42" t="inlineStr">
        <is>
          <t>https://usecalcpro.com/finance/umbrella-insurance-quote-calculator</t>
        </is>
      </c>
      <c r="G22" s="43" t="n">
        <v>46295</v>
      </c>
      <c r="H22" s="41" t="inlineStr">
        <is>
          <t>US</t>
        </is>
      </c>
      <c r="I22" s="41" t="inlineStr">
        <is>
          <t>Reference data (secondary source)</t>
        </is>
      </c>
      <c r="J22" s="45" t="inlineStr">
        <is>
          <t>Secondary - unverified</t>
        </is>
      </c>
      <c r="K22" s="43" t="n">
        <v>46295</v>
      </c>
      <c r="L22" s="41" t="inlineStr">
        <is>
          <t>Kiplinger cites $250,000 auto and $300,000 home liability. One source says CA/NY/FL often require 500/500/100.</t>
        </is>
      </c>
    </row>
    <row r="23" ht="23.85" customHeight="1" s="29">
      <c r="A23" s="41" t="inlineStr">
        <is>
          <t>Umbrella</t>
        </is>
      </c>
      <c r="B23" s="41" t="inlineStr">
        <is>
          <t>Typical required underlying home liability</t>
        </is>
      </c>
      <c r="C23" s="41" t="inlineStr">
        <is>
          <t>300000</t>
        </is>
      </c>
      <c r="D23" s="41" t="inlineStr">
        <is>
          <t>USD</t>
        </is>
      </c>
      <c r="E23" s="41" t="inlineStr">
        <is>
          <t>Kiplinger - How much umbrella insurance do I need</t>
        </is>
      </c>
      <c r="F23" s="42" t="inlineStr">
        <is>
          <t>https://www.kiplinger.com/personal-finance/insurance/umbrella-insurance/603237/how-much-umbrella-insurance-do-i-need</t>
        </is>
      </c>
      <c r="G23" s="43" t="n">
        <v>46295</v>
      </c>
      <c r="H23" s="41" t="inlineStr">
        <is>
          <t>US</t>
        </is>
      </c>
      <c r="I23" s="41" t="inlineStr">
        <is>
          <t>Reference data (secondary source)</t>
        </is>
      </c>
      <c r="J23" s="45" t="inlineStr">
        <is>
          <t>Secondary - unverified</t>
        </is>
      </c>
      <c r="K23" s="43" t="n">
        <v>46295</v>
      </c>
      <c r="L23" s="41" t="n"/>
    </row>
    <row r="24" ht="23.85" customHeight="1" s="29">
      <c r="A24" s="41" t="inlineStr">
        <is>
          <t>Umbrella</t>
        </is>
      </c>
      <c r="B24" s="41" t="inlineStr">
        <is>
          <t>Extra cost to raise underlying auto limits</t>
        </is>
      </c>
      <c r="C24" s="41" t="inlineStr">
        <is>
          <t>$100-$200</t>
        </is>
      </c>
      <c r="D24" s="41" t="inlineStr">
        <is>
          <t>USD/year</t>
        </is>
      </c>
      <c r="E24" s="41" t="inlineStr">
        <is>
          <t>Real Cost Report - Umbrella insurance cost 2026</t>
        </is>
      </c>
      <c r="F24" s="42" t="inlineStr">
        <is>
          <t>https://www.realcostreport.com/insurance/home-insurance/umbrella-insurance-cost/</t>
        </is>
      </c>
      <c r="G24" s="43" t="n">
        <v>46295</v>
      </c>
      <c r="H24" s="41" t="inlineStr">
        <is>
          <t>US</t>
        </is>
      </c>
      <c r="I24" s="41" t="inlineStr">
        <is>
          <t>Estimate</t>
        </is>
      </c>
      <c r="J24" s="45" t="inlineStr">
        <is>
          <t>Secondary - unverified</t>
        </is>
      </c>
      <c r="K24" s="43" t="n">
        <v>46295</v>
      </c>
      <c r="L24" s="41" t="inlineStr">
        <is>
          <t>Include in total-cost quote.</t>
        </is>
      </c>
    </row>
  </sheetData>
  <autoFilter ref="A1:L24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content.naic.org/sites/default/files/consumer-auto-shopping-tool.pdf" r:id="rId1"/>
    <hyperlink xmlns:r="http://schemas.openxmlformats.org/officeDocument/2006/relationships" ref="F3" display="https://thelendersnetwork.com/flood-insurance-mortgage-requirements/" r:id="rId2"/>
    <hyperlink xmlns:r="http://schemas.openxmlformats.org/officeDocument/2006/relationships" ref="F4" display="https://thelendersnetwork.com/flood-insurance-mortgage-requirements/" r:id="rId3"/>
    <hyperlink xmlns:r="http://schemas.openxmlformats.org/officeDocument/2006/relationships" ref="F5" display="https://thelendersnetwork.com/flood-insurance-mortgage-requirements/" r:id="rId4"/>
    <hyperlink xmlns:r="http://schemas.openxmlformats.org/officeDocument/2006/relationships" ref="F6" display="https://thelendersnetwork.com/flood-insurance-mortgage-requirements/" r:id="rId5"/>
    <hyperlink xmlns:r="http://schemas.openxmlformats.org/officeDocument/2006/relationships" ref="F7" display="https://walletgrower.com/insurance/homeowners-insurance/flood-insurance" r:id="rId6"/>
    <hyperlink xmlns:r="http://schemas.openxmlformats.org/officeDocument/2006/relationships" ref="F8" display="https://atesariskadvisors.com/blog/florida-private-flood-insurance-vs-nfip-2026" r:id="rId7"/>
    <hyperlink xmlns:r="http://schemas.openxmlformats.org/officeDocument/2006/relationships" ref="F9" display="https://www.congress.gov/crs-product/R49353" r:id="rId8"/>
    <hyperlink xmlns:r="http://schemas.openxmlformats.org/officeDocument/2006/relationships" ref="F10" display="https://walletgrower.com/insurance/homeowners-insurance/flood-insurance" r:id="rId9"/>
    <hyperlink xmlns:r="http://schemas.openxmlformats.org/officeDocument/2006/relationships" ref="F11" display="https://walletgrower.com/insurance/homeowners-insurance/flood-insurance" r:id="rId10"/>
    <hyperlink xmlns:r="http://schemas.openxmlformats.org/officeDocument/2006/relationships" ref="F12" display="https://www.earthquakeauthority.com/california-earthquake-insurance-policies/homeowners" r:id="rId11"/>
    <hyperlink xmlns:r="http://schemas.openxmlformats.org/officeDocument/2006/relationships" ref="F13" display="https://expressfinancial.net/p/earthquake-insurance-california" r:id="rId12"/>
    <hyperlink xmlns:r="http://schemas.openxmlformats.org/officeDocument/2006/relationships" ref="F14" display="https://www.earthquakeauthority.com/california-earthquake-insurance-policies/homeowners" r:id="rId13"/>
    <hyperlink xmlns:r="http://schemas.openxmlformats.org/officeDocument/2006/relationships" ref="F15" display="https://www.earthquakeauthority.com/california-earthquake-insurance-policies/homeowners" r:id="rId14"/>
    <hyperlink xmlns:r="http://schemas.openxmlformats.org/officeDocument/2006/relationships" ref="F16" display="https://expressfinancial.net/p/earthquake-insurance-california" r:id="rId15"/>
    <hyperlink xmlns:r="http://schemas.openxmlformats.org/officeDocument/2006/relationships" ref="F17" display="https://www.earthquakenearme.com/en/blog/earthquake-insurance-california" r:id="rId16"/>
    <hyperlink xmlns:r="http://schemas.openxmlformats.org/officeDocument/2006/relationships" ref="F18" display="https://www.earthquakenearme.com/en/blog/earthquake-insurance-california" r:id="rId17"/>
    <hyperlink xmlns:r="http://schemas.openxmlformats.org/officeDocument/2006/relationships" ref="F19" display="https://expressfinancial.net/p/earthquake-insurance-california" r:id="rId18"/>
    <hyperlink xmlns:r="http://schemas.openxmlformats.org/officeDocument/2006/relationships" ref="F20" display="https://www.nerdwallet.com/insurance/homeowners/learn/umbrella-insurance" r:id="rId19"/>
    <hyperlink xmlns:r="http://schemas.openxmlformats.org/officeDocument/2006/relationships" ref="F21" display="https://www.realcostreport.com/insurance/home-insurance/umbrella-insurance-cost/" r:id="rId20"/>
    <hyperlink xmlns:r="http://schemas.openxmlformats.org/officeDocument/2006/relationships" ref="F22" display="https://usecalcpro.com/finance/umbrella-insurance-quote-calculator" r:id="rId21"/>
    <hyperlink xmlns:r="http://schemas.openxmlformats.org/officeDocument/2006/relationships" ref="F23" display="https://www.kiplinger.com/personal-finance/insurance/umbrella-insurance/603237/how-much-umbrella-insurance-do-i-need" r:id="rId22"/>
    <hyperlink xmlns:r="http://schemas.openxmlformats.org/officeDocument/2006/relationships" ref="F24" display="https://www.realcostreport.com/insurance/home-insurance/umbrella-insurance-cost/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20" customWidth="1" style="28" min="2" max="2"/>
    <col width="14" customWidth="1" style="28" min="3" max="3"/>
    <col width="40" customWidth="1" style="28" min="4" max="4"/>
    <col width="48" customWidth="1" style="28" min="5" max="5"/>
    <col width="34" customWidth="1" style="28" min="6" max="6"/>
    <col width="42" customWidth="1" style="28" min="7" max="7"/>
    <col width="12" customWidth="1" style="28" min="8" max="8"/>
    <col width="20" customWidth="1" style="28" min="9" max="9"/>
    <col width="24" customWidth="1" style="28" min="10" max="10"/>
    <col width="20" customWidth="1" style="28" min="11" max="11"/>
    <col width="12" customWidth="1" style="28" min="12" max="12"/>
    <col width="50" customWidth="1" style="28" min="13" max="13"/>
  </cols>
  <sheetData>
    <row r="1" ht="31.5" customHeight="1" s="29">
      <c r="A1" s="40" t="inlineStr">
        <is>
          <t>Line</t>
        </is>
      </c>
      <c r="B1" s="40" t="inlineStr">
        <is>
          <t>Metric</t>
        </is>
      </c>
      <c r="C1" s="40" t="inlineStr">
        <is>
          <t>Value ($/yr)</t>
        </is>
      </c>
      <c r="D1" s="40" t="inlineStr">
        <is>
          <t>Comparable Group</t>
        </is>
      </c>
      <c r="E1" s="40" t="inlineStr">
        <is>
          <t>Methodology / Definition</t>
        </is>
      </c>
      <c r="F1" s="40" t="inlineStr">
        <is>
          <t>Source</t>
        </is>
      </c>
      <c r="G1" s="40" t="inlineStr">
        <is>
          <t>Source URL</t>
        </is>
      </c>
      <c r="H1" s="40" t="inlineStr">
        <is>
          <t>Date Collected</t>
        </is>
      </c>
      <c r="I1" s="40" t="inlineStr">
        <is>
          <t>Geographic Scope</t>
        </is>
      </c>
      <c r="J1" s="40" t="inlineStr">
        <is>
          <t>Data Type</t>
        </is>
      </c>
      <c r="K1" s="40" t="inlineStr">
        <is>
          <t>Verification Status</t>
        </is>
      </c>
      <c r="L1" s="40" t="inlineStr">
        <is>
          <t>Last Updated</t>
        </is>
      </c>
      <c r="M1" s="40" t="inlineStr">
        <is>
          <t>Notes</t>
        </is>
      </c>
    </row>
    <row r="2" ht="23.85" customHeight="1" s="29">
      <c r="A2" s="41" t="inlineStr">
        <is>
          <t>Auto</t>
        </is>
      </c>
      <c r="B2" s="41" t="inlineStr">
        <is>
          <t>National average</t>
        </is>
      </c>
      <c r="C2" s="49" t="n">
        <v>1820</v>
      </c>
      <c r="D2" s="41" t="inlineStr">
        <is>
          <t>Auto full coverage annual</t>
        </is>
      </c>
      <c r="E2" s="41" t="inlineStr">
        <is>
          <t>35-yr-old, clean record, 12k miles, 100/300/100, $500 deductibles</t>
        </is>
      </c>
      <c r="F2" s="41" t="inlineStr">
        <is>
          <t>InsurTool - Average car insurance cost 2026</t>
        </is>
      </c>
      <c r="G2" s="42" t="inlineStr">
        <is>
          <t>https://insurtool.com/tools/average-car-insurance-cost/</t>
        </is>
      </c>
      <c r="H2" s="43" t="n">
        <v>46295</v>
      </c>
      <c r="I2" s="41" t="inlineStr">
        <is>
          <t>US</t>
        </is>
      </c>
      <c r="J2" s="41" t="inlineStr">
        <is>
          <t>Estimate</t>
        </is>
      </c>
      <c r="K2" s="45" t="inlineStr">
        <is>
          <t>Secondary - unverified</t>
        </is>
      </c>
      <c r="L2" s="43" t="n">
        <v>46295</v>
      </c>
      <c r="M2" s="41" t="inlineStr">
        <is>
          <t>Methodology not independently verified.</t>
        </is>
      </c>
    </row>
    <row r="3" ht="15" customHeight="1" s="29">
      <c r="A3" s="41" t="inlineStr">
        <is>
          <t>Auto</t>
        </is>
      </c>
      <c r="B3" s="41" t="inlineStr">
        <is>
          <t>National average</t>
        </is>
      </c>
      <c r="C3" s="49" t="n">
        <v>2237</v>
      </c>
      <c r="D3" s="41" t="inlineStr">
        <is>
          <t>Auto full coverage annual</t>
        </is>
      </c>
      <c r="E3" s="41" t="inlineStr">
        <is>
          <t>Insurify, first half 2026</t>
        </is>
      </c>
      <c r="F3" s="41" t="inlineStr">
        <is>
          <t>Insurify - Car insurance report (H1 2026)</t>
        </is>
      </c>
      <c r="G3" s="42" t="inlineStr">
        <is>
          <t>https://insurify.com/car-insurance/report/</t>
        </is>
      </c>
      <c r="H3" s="43" t="n">
        <v>46295</v>
      </c>
      <c r="I3" s="41" t="inlineStr">
        <is>
          <t>US</t>
        </is>
      </c>
      <c r="J3" s="41" t="inlineStr">
        <is>
          <t>Estimate</t>
        </is>
      </c>
      <c r="K3" s="45" t="inlineStr">
        <is>
          <t>Secondary - unverified</t>
        </is>
      </c>
      <c r="L3" s="43" t="n">
        <v>46295</v>
      </c>
      <c r="M3" s="41" t="inlineStr">
        <is>
          <t>Insurify projects $2,242 by year-end.</t>
        </is>
      </c>
    </row>
    <row r="4" ht="23.85" customHeight="1" s="29">
      <c r="A4" s="41" t="inlineStr">
        <is>
          <t>Auto</t>
        </is>
      </c>
      <c r="B4" s="41" t="inlineStr">
        <is>
          <t>National average</t>
        </is>
      </c>
      <c r="C4" s="49" t="n">
        <v>2496</v>
      </c>
      <c r="D4" s="41" t="inlineStr">
        <is>
          <t>Auto full coverage annual</t>
        </is>
      </c>
      <c r="E4" s="41" t="inlineStr">
        <is>
          <t>ValuePenguin 2026 ($208/month)</t>
        </is>
      </c>
      <c r="F4" s="41" t="inlineStr">
        <is>
          <t>ValuePenguin - State of Auto Insurance 2026</t>
        </is>
      </c>
      <c r="G4" s="42" t="inlineStr">
        <is>
          <t>https://www.valuepenguin.com/state-of-auto-insurance-2026</t>
        </is>
      </c>
      <c r="H4" s="43" t="n">
        <v>46295</v>
      </c>
      <c r="I4" s="41" t="inlineStr">
        <is>
          <t>US</t>
        </is>
      </c>
      <c r="J4" s="41" t="inlineStr">
        <is>
          <t>Estimate</t>
        </is>
      </c>
      <c r="K4" s="45" t="inlineStr">
        <is>
          <t>Secondary - unverified</t>
        </is>
      </c>
      <c r="L4" s="43" t="n">
        <v>46295</v>
      </c>
      <c r="M4" s="41" t="inlineStr">
        <is>
          <t>InsuredBetter reports the same figure.</t>
        </is>
      </c>
    </row>
    <row r="5" ht="15" customHeight="1" s="29">
      <c r="A5" s="41" t="inlineStr">
        <is>
          <t>Auto</t>
        </is>
      </c>
      <c r="B5" s="41" t="inlineStr">
        <is>
          <t>National average</t>
        </is>
      </c>
      <c r="C5" s="49" t="n">
        <v>2670</v>
      </c>
      <c r="D5" s="41" t="inlineStr">
        <is>
          <t>Auto full coverage annual</t>
        </is>
      </c>
      <c r="E5" s="41" t="inlineStr">
        <is>
          <t>Cinco Auto Insurance ($223/month)</t>
        </is>
      </c>
      <c r="F5" s="41" t="inlineStr">
        <is>
          <t>Cinco Auto Insurance - Average cost</t>
        </is>
      </c>
      <c r="G5" s="42" t="inlineStr">
        <is>
          <t>https://cincoautoinsurance.com/auto-insurance/cost/</t>
        </is>
      </c>
      <c r="H5" s="43" t="n">
        <v>46295</v>
      </c>
      <c r="I5" s="41" t="inlineStr">
        <is>
          <t>US</t>
        </is>
      </c>
      <c r="J5" s="41" t="inlineStr">
        <is>
          <t>Estimate</t>
        </is>
      </c>
      <c r="K5" s="45" t="inlineStr">
        <is>
          <t>Secondary - unverified</t>
        </is>
      </c>
      <c r="L5" s="43" t="n">
        <v>46295</v>
      </c>
      <c r="M5" s="41" t="inlineStr">
        <is>
          <t>Agency blog; lower reliability.</t>
        </is>
      </c>
    </row>
    <row r="6" ht="15" customHeight="1" s="29">
      <c r="A6" s="41" t="inlineStr">
        <is>
          <t>Auto</t>
        </is>
      </c>
      <c r="B6" s="41" t="inlineStr">
        <is>
          <t>National average</t>
        </is>
      </c>
      <c r="C6" s="49" t="n">
        <v>2922</v>
      </c>
      <c r="D6" s="41" t="inlineStr">
        <is>
          <t>Auto full coverage annual</t>
        </is>
      </c>
      <c r="E6" s="41" t="inlineStr">
        <is>
          <t>Experian, Aug 2026 (marketplace policies)</t>
        </is>
      </c>
      <c r="F6" s="41" t="inlineStr">
        <is>
          <t>Experian - Average cost of car insurance</t>
        </is>
      </c>
      <c r="G6" s="42" t="inlineStr">
        <is>
          <t>https://www.experian.com/blogs/ask-experian/average-cost-car-insurance/</t>
        </is>
      </c>
      <c r="H6" s="43" t="n">
        <v>46295</v>
      </c>
      <c r="I6" s="41" t="inlineStr">
        <is>
          <t>US</t>
        </is>
      </c>
      <c r="J6" s="41" t="inlineStr">
        <is>
          <t>Estimate</t>
        </is>
      </c>
      <c r="K6" s="45" t="inlineStr">
        <is>
          <t>Secondary - unverified</t>
        </is>
      </c>
      <c r="L6" s="43" t="n">
        <v>46295</v>
      </c>
      <c r="M6" s="41" t="n"/>
    </row>
    <row r="7" ht="15" customHeight="1" s="29">
      <c r="A7" s="41" t="inlineStr">
        <is>
          <t>Auto</t>
        </is>
      </c>
      <c r="B7" s="41" t="inlineStr">
        <is>
          <t>National average</t>
        </is>
      </c>
      <c r="C7" s="49" t="n">
        <v>773</v>
      </c>
      <c r="D7" s="41" t="inlineStr">
        <is>
          <t>Auto minimum coverage annual</t>
        </is>
      </c>
      <c r="E7" s="41" t="inlineStr">
        <is>
          <t>Cinco Auto Insurance</t>
        </is>
      </c>
      <c r="F7" s="41" t="inlineStr">
        <is>
          <t>Cinco Auto Insurance - Average cost</t>
        </is>
      </c>
      <c r="G7" s="42" t="inlineStr">
        <is>
          <t>https://cincoautoinsurance.com/auto-insurance/cost/</t>
        </is>
      </c>
      <c r="H7" s="43" t="n">
        <v>46295</v>
      </c>
      <c r="I7" s="41" t="inlineStr">
        <is>
          <t>US</t>
        </is>
      </c>
      <c r="J7" s="41" t="inlineStr">
        <is>
          <t>Estimate</t>
        </is>
      </c>
      <c r="K7" s="45" t="inlineStr">
        <is>
          <t>Secondary - unverified</t>
        </is>
      </c>
      <c r="L7" s="43" t="n">
        <v>46295</v>
      </c>
      <c r="M7" s="41" t="n"/>
    </row>
    <row r="8" ht="23.85" customHeight="1" s="29">
      <c r="A8" s="41" t="inlineStr">
        <is>
          <t>Auto</t>
        </is>
      </c>
      <c r="B8" s="41" t="inlineStr">
        <is>
          <t>National average</t>
        </is>
      </c>
      <c r="C8" s="49" t="n">
        <v>912</v>
      </c>
      <c r="D8" s="41" t="inlineStr">
        <is>
          <t>Auto minimum coverage annual</t>
        </is>
      </c>
      <c r="E8" s="41" t="inlineStr">
        <is>
          <t>InsuredBetter / Trusted Choice ($76/month)</t>
        </is>
      </c>
      <c r="F8" s="41" t="inlineStr">
        <is>
          <t>InsuredBetter / Trusted Choice - Car insurance cost 2026</t>
        </is>
      </c>
      <c r="G8" s="42" t="inlineStr">
        <is>
          <t>https://www.insuredbetter.com/car-insurance/compare-auto-coverage/rate-cost/</t>
        </is>
      </c>
      <c r="H8" s="43" t="n">
        <v>46295</v>
      </c>
      <c r="I8" s="41" t="inlineStr">
        <is>
          <t>US</t>
        </is>
      </c>
      <c r="J8" s="41" t="inlineStr">
        <is>
          <t>Estimate</t>
        </is>
      </c>
      <c r="K8" s="45" t="inlineStr">
        <is>
          <t>Secondary - unverified</t>
        </is>
      </c>
      <c r="L8" s="43" t="n">
        <v>46295</v>
      </c>
      <c r="M8" s="41" t="n"/>
    </row>
    <row r="9" ht="15" customHeight="1" s="29">
      <c r="A9" s="41" t="inlineStr">
        <is>
          <t>Auto</t>
        </is>
      </c>
      <c r="B9" s="41" t="inlineStr">
        <is>
          <t>National average</t>
        </is>
      </c>
      <c r="C9" s="49" t="n">
        <v>1580</v>
      </c>
      <c r="D9" s="41" t="inlineStr">
        <is>
          <t>Auto minimum coverage annual</t>
        </is>
      </c>
      <c r="E9" s="41" t="inlineStr">
        <is>
          <t>Experian, Aug 2026</t>
        </is>
      </c>
      <c r="F9" s="41" t="inlineStr">
        <is>
          <t>Experian - Average cost of car insurance</t>
        </is>
      </c>
      <c r="G9" s="42" t="inlineStr">
        <is>
          <t>https://www.experian.com/blogs/ask-experian/average-cost-car-insurance/</t>
        </is>
      </c>
      <c r="H9" s="43" t="n">
        <v>46295</v>
      </c>
      <c r="I9" s="41" t="inlineStr">
        <is>
          <t>US</t>
        </is>
      </c>
      <c r="J9" s="41" t="inlineStr">
        <is>
          <t>Estimate</t>
        </is>
      </c>
      <c r="K9" s="45" t="inlineStr">
        <is>
          <t>Secondary - unverified</t>
        </is>
      </c>
      <c r="L9" s="43" t="n">
        <v>46295</v>
      </c>
      <c r="M9" s="41" t="n"/>
    </row>
    <row r="10" ht="15" customHeight="1" s="29">
      <c r="A10" s="41" t="inlineStr">
        <is>
          <t>Auto</t>
        </is>
      </c>
      <c r="B10" s="41" t="inlineStr">
        <is>
          <t>National average</t>
        </is>
      </c>
      <c r="C10" s="49" t="n">
        <v>2262</v>
      </c>
      <c r="D10" s="41" t="inlineStr">
        <is>
          <t>Auto - all coverage levels (not in spread)</t>
        </is>
      </c>
      <c r="E10" s="41" t="inlineStr">
        <is>
          <t>Experian overall average</t>
        </is>
      </c>
      <c r="F10" s="41" t="inlineStr">
        <is>
          <t>Experian - Average cost of car insurance</t>
        </is>
      </c>
      <c r="G10" s="42" t="inlineStr">
        <is>
          <t>https://www.experian.com/blogs/ask-experian/average-cost-car-insurance/</t>
        </is>
      </c>
      <c r="H10" s="43" t="n">
        <v>46295</v>
      </c>
      <c r="I10" s="41" t="inlineStr">
        <is>
          <t>US</t>
        </is>
      </c>
      <c r="J10" s="41" t="inlineStr">
        <is>
          <t>Estimate</t>
        </is>
      </c>
      <c r="K10" s="45" t="inlineStr">
        <is>
          <t>Secondary - unverified</t>
        </is>
      </c>
      <c r="L10" s="43" t="n">
        <v>46295</v>
      </c>
      <c r="M10" s="41" t="inlineStr">
        <is>
          <t>Not comparable to full-coverage rows.</t>
        </is>
      </c>
    </row>
    <row r="11" ht="23.85" customHeight="1" s="29">
      <c r="A11" s="41" t="inlineStr">
        <is>
          <t>Auto</t>
        </is>
      </c>
      <c r="B11" s="41" t="inlineStr">
        <is>
          <t>National average</t>
        </is>
      </c>
      <c r="C11" s="49" t="n">
        <v>2510</v>
      </c>
      <c r="D11" s="41" t="inlineStr">
        <is>
          <t>Auto - coverage level unspecified (not in spread)</t>
        </is>
      </c>
      <c r="E11" s="41" t="inlineStr">
        <is>
          <t>U.S. News, Aug 2026</t>
        </is>
      </c>
      <c r="F11" s="41" t="inlineStr">
        <is>
          <t>U.S. News - Average cost of car insurance (Aug 2026)</t>
        </is>
      </c>
      <c r="G11" s="42" t="inlineStr">
        <is>
          <t>https://www.usnews.com/insurance/auto/average-cost-of-car-insurance</t>
        </is>
      </c>
      <c r="H11" s="43" t="n">
        <v>46295</v>
      </c>
      <c r="I11" s="41" t="inlineStr">
        <is>
          <t>US</t>
        </is>
      </c>
      <c r="J11" s="41" t="inlineStr">
        <is>
          <t>Estimate</t>
        </is>
      </c>
      <c r="K11" s="45" t="inlineStr">
        <is>
          <t>Secondary - unverified</t>
        </is>
      </c>
      <c r="L11" s="43" t="n">
        <v>46295</v>
      </c>
      <c r="M11" s="41" t="inlineStr">
        <is>
          <t>Coverage level unspecified.</t>
        </is>
      </c>
    </row>
    <row r="12" ht="23.85" customHeight="1" s="29">
      <c r="A12" s="41" t="inlineStr">
        <is>
          <t>Home</t>
        </is>
      </c>
      <c r="B12" s="41" t="inlineStr">
        <is>
          <t>National average</t>
        </is>
      </c>
      <c r="C12" s="49" t="n">
        <v>2490</v>
      </c>
      <c r="D12" s="41" t="inlineStr">
        <is>
          <t>Home national average annual</t>
        </is>
      </c>
      <c r="E12" s="41" t="inlineStr">
        <is>
          <t>NerdWallet analysis of 100+ insurers</t>
        </is>
      </c>
      <c r="F12" s="41" t="inlineStr">
        <is>
          <t>NerdWallet - Average homeowners insurance cost</t>
        </is>
      </c>
      <c r="G12" s="42" t="inlineStr">
        <is>
          <t>https://www.nerdwallet.com/insurance/homeowners/learn/average-homeowners-insurance-cost</t>
        </is>
      </c>
      <c r="H12" s="43" t="n">
        <v>46295</v>
      </c>
      <c r="I12" s="41" t="inlineStr">
        <is>
          <t>US</t>
        </is>
      </c>
      <c r="J12" s="41" t="inlineStr">
        <is>
          <t>Estimate</t>
        </is>
      </c>
      <c r="K12" s="45" t="inlineStr">
        <is>
          <t>Secondary - unverified</t>
        </is>
      </c>
      <c r="L12" s="43" t="n">
        <v>46295</v>
      </c>
      <c r="M12" s="41" t="n"/>
    </row>
    <row r="13" ht="15" customHeight="1" s="29">
      <c r="A13" s="41" t="inlineStr">
        <is>
          <t>Home</t>
        </is>
      </c>
      <c r="B13" s="41" t="inlineStr">
        <is>
          <t>National average</t>
        </is>
      </c>
      <c r="C13" s="49" t="n">
        <v>3012</v>
      </c>
      <c r="D13" s="41" t="inlineStr">
        <is>
          <t>Home national average annual</t>
        </is>
      </c>
      <c r="E13" s="41" t="inlineStr">
        <is>
          <t>Insurify, mid-2026</t>
        </is>
      </c>
      <c r="F13" s="41" t="inlineStr">
        <is>
          <t>Insurify - Home insurance rates H1 2026</t>
        </is>
      </c>
      <c r="G13" s="42" t="inlineStr">
        <is>
          <t>https://insurify.com/homeowners-insurance/insights/rates-increase-first-half-2026/</t>
        </is>
      </c>
      <c r="H13" s="43" t="n">
        <v>46295</v>
      </c>
      <c r="I13" s="41" t="inlineStr">
        <is>
          <t>US</t>
        </is>
      </c>
      <c r="J13" s="41" t="inlineStr">
        <is>
          <t>Estimate</t>
        </is>
      </c>
      <c r="K13" s="45" t="inlineStr">
        <is>
          <t>Secondary - unverified</t>
        </is>
      </c>
      <c r="L13" s="43" t="n">
        <v>46295</v>
      </c>
      <c r="M13" s="41" t="inlineStr">
        <is>
          <t>Insurify projected $3,057 for 2026 in March.</t>
        </is>
      </c>
    </row>
    <row r="14" ht="15" customHeight="1" s="29">
      <c r="A14" s="41" t="inlineStr">
        <is>
          <t>Home</t>
        </is>
      </c>
      <c r="B14" s="41" t="inlineStr">
        <is>
          <t>Florida average</t>
        </is>
      </c>
      <c r="C14" s="49" t="n">
        <v>8486</v>
      </c>
      <c r="D14" s="41" t="inlineStr">
        <is>
          <t>Home - state (not in spread)</t>
        </is>
      </c>
      <c r="E14" s="41" t="inlineStr">
        <is>
          <t>Insurify, H1 2026 (most expensive state)</t>
        </is>
      </c>
      <c r="F14" s="41" t="inlineStr">
        <is>
          <t>Insurify - Home insurance rates H1 2026</t>
        </is>
      </c>
      <c r="G14" s="42" t="inlineStr">
        <is>
          <t>https://insurify.com/homeowners-insurance/insights/rates-increase-first-half-2026/</t>
        </is>
      </c>
      <c r="H14" s="43" t="n">
        <v>46295</v>
      </c>
      <c r="I14" s="41" t="inlineStr">
        <is>
          <t>Florida</t>
        </is>
      </c>
      <c r="J14" s="41" t="inlineStr">
        <is>
          <t>Estimate</t>
        </is>
      </c>
      <c r="K14" s="45" t="inlineStr">
        <is>
          <t>Secondary - unverified</t>
        </is>
      </c>
      <c r="L14" s="43" t="n">
        <v>46295</v>
      </c>
      <c r="M14" s="41" t="n"/>
    </row>
    <row r="17" ht="15" customHeight="1" s="29">
      <c r="A17" s="31" t="inlineStr">
        <is>
          <t>Spread summary (formulas)</t>
        </is>
      </c>
    </row>
    <row r="18" ht="15" customHeight="1" s="29">
      <c r="A18" s="50" t="inlineStr">
        <is>
          <t>Group</t>
        </is>
      </c>
      <c r="B18" s="50" t="inlineStr">
        <is>
          <t>Low ($/yr)</t>
        </is>
      </c>
      <c r="C18" s="50" t="inlineStr">
        <is>
          <t>High ($/yr)</t>
        </is>
      </c>
      <c r="D18" s="50" t="inlineStr">
        <is>
          <t>High vs Low</t>
        </is>
      </c>
    </row>
    <row r="19" ht="15" customHeight="1" s="29">
      <c r="A19" s="39" t="inlineStr">
        <is>
          <t>Auto full coverage annual</t>
        </is>
      </c>
      <c r="B19" s="51">
        <f>MIN(C2:C6)</f>
        <v/>
      </c>
      <c r="C19" s="51">
        <f>MAX(C2:C6)</f>
        <v/>
      </c>
      <c r="D19" s="52">
        <f>C19/B19-1</f>
        <v/>
      </c>
    </row>
    <row r="20" ht="15" customHeight="1" s="29">
      <c r="A20" s="39" t="inlineStr">
        <is>
          <t>Auto minimum coverage annual</t>
        </is>
      </c>
      <c r="B20" s="51">
        <f>MIN(C7:C9)</f>
        <v/>
      </c>
      <c r="C20" s="51">
        <f>MAX(C7:C9)</f>
        <v/>
      </c>
      <c r="D20" s="52">
        <f>C20/B20-1</f>
        <v/>
      </c>
    </row>
    <row r="21" ht="15" customHeight="1" s="29">
      <c r="A21" s="39" t="inlineStr">
        <is>
          <t>Home national average annual</t>
        </is>
      </c>
      <c r="B21" s="51">
        <f>MIN(C12:C13)</f>
        <v/>
      </c>
      <c r="C21" s="51">
        <f>MAX(C12:C13)</f>
        <v/>
      </c>
      <c r="D21" s="52">
        <f>C21/B21-1</f>
        <v/>
      </c>
    </row>
    <row r="23" ht="15" customHeight="1" s="29">
      <c r="A23" s="53" t="inlineStr">
        <is>
          <t>Note: ranges above are computed from the rows in the table; if you add or remove rows, update the range references. Do not show one national average as a verdict on a user's premium.</t>
        </is>
      </c>
    </row>
  </sheetData>
  <autoFilter ref="A1:M14"/>
  <dataValidations count="1">
    <dataValidation sqref="K2:K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G2" display="https://insurtool.com/tools/average-car-insurance-cost/" r:id="rId1"/>
    <hyperlink xmlns:r="http://schemas.openxmlformats.org/officeDocument/2006/relationships" ref="G3" display="https://insurify.com/car-insurance/report/" r:id="rId2"/>
    <hyperlink xmlns:r="http://schemas.openxmlformats.org/officeDocument/2006/relationships" ref="G4" display="https://www.valuepenguin.com/state-of-auto-insurance-2026" r:id="rId3"/>
    <hyperlink xmlns:r="http://schemas.openxmlformats.org/officeDocument/2006/relationships" ref="G5" display="https://cincoautoinsurance.com/auto-insurance/cost/" r:id="rId4"/>
    <hyperlink xmlns:r="http://schemas.openxmlformats.org/officeDocument/2006/relationships" ref="G6" display="https://www.experian.com/blogs/ask-experian/average-cost-car-insurance/" r:id="rId5"/>
    <hyperlink xmlns:r="http://schemas.openxmlformats.org/officeDocument/2006/relationships" ref="G7" display="https://cincoautoinsurance.com/auto-insurance/cost/" r:id="rId6"/>
    <hyperlink xmlns:r="http://schemas.openxmlformats.org/officeDocument/2006/relationships" ref="G8" display="https://www.insuredbetter.com/car-insurance/compare-auto-coverage/rate-cost/" r:id="rId7"/>
    <hyperlink xmlns:r="http://schemas.openxmlformats.org/officeDocument/2006/relationships" ref="G9" display="https://www.experian.com/blogs/ask-experian/average-cost-car-insurance/" r:id="rId8"/>
    <hyperlink xmlns:r="http://schemas.openxmlformats.org/officeDocument/2006/relationships" ref="G10" display="https://www.experian.com/blogs/ask-experian/average-cost-car-insurance/" r:id="rId9"/>
    <hyperlink xmlns:r="http://schemas.openxmlformats.org/officeDocument/2006/relationships" ref="G11" display="https://www.usnews.com/insurance/auto/average-cost-of-car-insurance" r:id="rId10"/>
    <hyperlink xmlns:r="http://schemas.openxmlformats.org/officeDocument/2006/relationships" ref="G12" display="https://www.nerdwallet.com/insurance/homeowners/learn/average-homeowners-insurance-cost" r:id="rId11"/>
    <hyperlink xmlns:r="http://schemas.openxmlformats.org/officeDocument/2006/relationships" ref="G13" display="https://insurify.com/homeowners-insurance/insights/rates-increase-first-half-2026/" r:id="rId12"/>
    <hyperlink xmlns:r="http://schemas.openxmlformats.org/officeDocument/2006/relationships" ref="G14" display="https://insurify.com/homeowners-insurance/insights/rates-increase-first-half-2026/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L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8" min="1" max="1"/>
    <col width="24" customWidth="1" style="28" min="2" max="2"/>
    <col width="52" customWidth="1" style="28" min="3" max="4"/>
    <col width="34" customWidth="1" style="28" min="5" max="5"/>
    <col width="42" customWidth="1" style="28" min="6" max="6"/>
    <col width="12" customWidth="1" style="28" min="7" max="7"/>
    <col width="20" customWidth="1" style="28" min="8" max="8"/>
    <col width="24" customWidth="1" style="28" min="9" max="9"/>
    <col width="20" customWidth="1" style="28" min="10" max="10"/>
    <col width="12" customWidth="1" style="28" min="11" max="11"/>
    <col width="50" customWidth="1" style="28" min="12" max="12"/>
  </cols>
  <sheetData>
    <row r="1" ht="31.5" customHeight="1" s="29">
      <c r="A1" s="40" t="inlineStr">
        <is>
          <t>Item</t>
        </is>
      </c>
      <c r="B1" s="40" t="inlineStr">
        <is>
          <t>Jurisdiction</t>
        </is>
      </c>
      <c r="C1" s="40" t="inlineStr">
        <is>
          <t>Status (as reported)</t>
        </is>
      </c>
      <c r="D1" s="40" t="inlineStr">
        <is>
          <t>Why It Matters</t>
        </is>
      </c>
      <c r="E1" s="40" t="inlineStr">
        <is>
          <t>Source</t>
        </is>
      </c>
      <c r="F1" s="40" t="inlineStr">
        <is>
          <t>Source URL</t>
        </is>
      </c>
      <c r="G1" s="40" t="inlineStr">
        <is>
          <t>Date Collected</t>
        </is>
      </c>
      <c r="H1" s="40" t="inlineStr">
        <is>
          <t>Geographic Scope</t>
        </is>
      </c>
      <c r="I1" s="40" t="inlineStr">
        <is>
          <t>Data Type</t>
        </is>
      </c>
      <c r="J1" s="40" t="inlineStr">
        <is>
          <t>Verification Status</t>
        </is>
      </c>
      <c r="K1" s="40" t="inlineStr">
        <is>
          <t>Last Updated</t>
        </is>
      </c>
      <c r="L1" s="40" t="inlineStr">
        <is>
          <t>Notes</t>
        </is>
      </c>
    </row>
    <row r="2" ht="23.85" customHeight="1" s="29">
      <c r="A2" s="41" t="inlineStr">
        <is>
          <t>NAIC AI Model Bulletin</t>
        </is>
      </c>
      <c r="B2" s="41" t="inlineStr">
        <is>
          <t>US states</t>
        </is>
      </c>
      <c r="C2" s="41" t="inlineStr">
        <is>
          <t>24 states + DC adopted as of Apr 1, 2026; CA, CO, NY, TX use own frameworks</t>
        </is>
      </c>
      <c r="D2" s="41" t="inlineStr">
        <is>
          <t>Governs insurers' AI use; not brokers. Does not create new liability or a private right of action (per sources).</t>
        </is>
      </c>
      <c r="E2" s="41" t="inlineStr">
        <is>
          <t>Tech Savvy Insurance - States that adopted NAIC AI bulletin</t>
        </is>
      </c>
      <c r="F2" s="42" t="inlineStr">
        <is>
          <t>https://techsavvyinsurance.com/answers/which-states-adopted-naic-ai-model-bulletin/</t>
        </is>
      </c>
      <c r="G2" s="43" t="n">
        <v>46295</v>
      </c>
      <c r="H2" s="41" t="inlineStr">
        <is>
          <t>US</t>
        </is>
      </c>
      <c r="I2" s="41" t="inlineStr">
        <is>
          <t>Reference data (secondary source)</t>
        </is>
      </c>
      <c r="J2" s="45" t="inlineStr">
        <is>
          <t>Secondary - unverified</t>
        </is>
      </c>
      <c r="K2" s="43" t="n">
        <v>46295</v>
      </c>
      <c r="L2" s="41" t="inlineStr">
        <is>
          <t>Relevant if you later sell tools to carriers.</t>
        </is>
      </c>
    </row>
    <row r="3" ht="23.85" customHeight="1" s="29">
      <c r="A3" s="41" t="inlineStr">
        <is>
          <t>Colorado Regulation 10-1-1</t>
        </is>
      </c>
      <c r="B3" s="41" t="inlineStr">
        <is>
          <t>Colorado</t>
        </is>
      </c>
      <c r="C3" s="41" t="inlineStr">
        <is>
          <t>Amended Oct 15, 2025; extends to private passenger auto from Jul 1, 2026</t>
        </is>
      </c>
      <c r="D3" s="41" t="inlineStr">
        <is>
          <t>Governance for insurers using external consumer data and models.</t>
        </is>
      </c>
      <c r="E3" s="41" t="inlineStr">
        <is>
          <t>Meilynx - NAIC AI Model Bulletin explained</t>
        </is>
      </c>
      <c r="F3" s="42" t="inlineStr">
        <is>
          <t>https://www.meilynx.com/reference/naic-ai-model-bulletin</t>
        </is>
      </c>
      <c r="G3" s="43" t="n">
        <v>46295</v>
      </c>
      <c r="H3" s="41" t="inlineStr">
        <is>
          <t>Colorado</t>
        </is>
      </c>
      <c r="I3" s="41" t="inlineStr">
        <is>
          <t>Reference data (secondary source)</t>
        </is>
      </c>
      <c r="J3" s="45" t="inlineStr">
        <is>
          <t>Secondary - unverified</t>
        </is>
      </c>
      <c r="K3" s="43" t="n">
        <v>46295</v>
      </c>
      <c r="L3" s="41" t="n"/>
    </row>
    <row r="4" ht="23.85" customHeight="1" s="29">
      <c r="A4" s="41" t="inlineStr">
        <is>
          <t>Federal AI preemption</t>
        </is>
      </c>
      <c r="B4" s="41" t="inlineStr">
        <is>
          <t>US</t>
        </is>
      </c>
      <c r="C4" s="41" t="inlineStr">
        <is>
          <t>Executive order created DOJ AI Litigation Task Force (Jan 10, 2026) to challenge state AI laws</t>
        </is>
      </c>
      <c r="D4" s="41" t="inlineStr">
        <is>
          <t>Could change state AI insurance rules.</t>
        </is>
      </c>
      <c r="E4" s="41" t="inlineStr">
        <is>
          <t>actuary.info - AI regulation in insurance 2026</t>
        </is>
      </c>
      <c r="F4" s="42" t="inlineStr">
        <is>
          <t>https://actuary.info/insights/ai-regulation-insurance-naic-2026</t>
        </is>
      </c>
      <c r="G4" s="43" t="n">
        <v>46295</v>
      </c>
      <c r="H4" s="41" t="inlineStr">
        <is>
          <t>US</t>
        </is>
      </c>
      <c r="I4" s="41" t="inlineStr">
        <is>
          <t>Reference data (secondary source)</t>
        </is>
      </c>
      <c r="J4" s="45" t="inlineStr">
        <is>
          <t>Secondary - unverified</t>
        </is>
      </c>
      <c r="K4" s="43" t="n">
        <v>46295</v>
      </c>
      <c r="L4" s="41" t="inlineStr">
        <is>
          <t>Situation still evolving.</t>
        </is>
      </c>
    </row>
    <row r="5" ht="23.85" customHeight="1" s="29">
      <c r="A5" s="41" t="inlineStr">
        <is>
          <t>TCPA one-to-one consent rule</t>
        </is>
      </c>
      <c r="B5" s="41" t="inlineStr">
        <is>
          <t>US (federal)</t>
        </is>
      </c>
      <c r="C5" s="41" t="inlineStr">
        <is>
          <t>Vacated by 11th Circuit on Jan 24, 2025</t>
        </is>
      </c>
      <c r="D5" s="41" t="inlineStr">
        <is>
          <t>State 'mini-TCPA' laws (FL, OK, WA, TX) still apply; many lead buyers still require seller-specific consent.</t>
        </is>
      </c>
      <c r="E5" s="41" t="inlineStr">
        <is>
          <t>Lead Distro AI - One-to-one consent 2026</t>
        </is>
      </c>
      <c r="F5" s="42" t="inlineStr">
        <is>
          <t>https://www.leaddistro.ai/blog/one-to-one-consent</t>
        </is>
      </c>
      <c r="G5" s="43" t="n">
        <v>46295</v>
      </c>
      <c r="H5" s="41" t="inlineStr">
        <is>
          <t>US</t>
        </is>
      </c>
      <c r="I5" s="41" t="inlineStr">
        <is>
          <t>Reference data (secondary source)</t>
        </is>
      </c>
      <c r="J5" s="45" t="inlineStr">
        <is>
          <t>Secondary - unverified</t>
        </is>
      </c>
      <c r="K5" s="43" t="n">
        <v>46295</v>
      </c>
      <c r="L5" s="41" t="inlineStr">
        <is>
          <t>Build to one-to-one anyway; get counsel.</t>
        </is>
      </c>
    </row>
    <row r="6" ht="23.85" customHeight="1" s="29">
      <c r="A6" s="41" t="inlineStr">
        <is>
          <t>TCPA penalties</t>
        </is>
      </c>
      <c r="B6" s="41" t="inlineStr">
        <is>
          <t>US (federal)</t>
        </is>
      </c>
      <c r="C6" s="41" t="inlineStr">
        <is>
          <t>$500-$1,500 per call reported</t>
        </is>
      </c>
      <c r="D6" s="41" t="inlineStr">
        <is>
          <t>-</t>
        </is>
      </c>
      <c r="E6" s="41" t="inlineStr">
        <is>
          <t>InsureLeads - TCPA/one-to-one status 2026</t>
        </is>
      </c>
      <c r="F6" s="42" t="inlineStr">
        <is>
          <t>https://www.getinsureleads.com/blog/fcc-one-to-one-consent-rule-status-update-2026</t>
        </is>
      </c>
      <c r="G6" s="43" t="n">
        <v>46295</v>
      </c>
      <c r="H6" s="41" t="inlineStr">
        <is>
          <t>US</t>
        </is>
      </c>
      <c r="I6" s="41" t="inlineStr">
        <is>
          <t>Estimate</t>
        </is>
      </c>
      <c r="J6" s="45" t="inlineStr">
        <is>
          <t>Secondary - unverified</t>
        </is>
      </c>
      <c r="K6" s="43" t="n">
        <v>46295</v>
      </c>
      <c r="L6" s="41" t="inlineStr">
        <is>
          <t>Lead-gen vendor source.</t>
        </is>
      </c>
    </row>
    <row r="7" ht="23.85" customHeight="1" s="29">
      <c r="A7" s="41" t="inlineStr">
        <is>
          <t>NFIP authorization</t>
        </is>
      </c>
      <c r="B7" s="41" t="inlineStr">
        <is>
          <t>US (federal)</t>
        </is>
      </c>
      <c r="C7" s="41" t="inlineStr">
        <is>
          <t>Authorized through Dec 11, 2026 (extended from Sept 30, 2026)</t>
        </is>
      </c>
      <c r="D7" s="41" t="inlineStr">
        <is>
          <t>Next lapse risk is Dec 12, 2026 unless Congress acts.</t>
        </is>
      </c>
      <c r="E7" s="41" t="inlineStr">
        <is>
          <t>CRS Insight - What Happens If the NFIP Lapses?</t>
        </is>
      </c>
      <c r="F7" s="42" t="inlineStr">
        <is>
          <t>https://www.congress.gov/crs-product/IN10835</t>
        </is>
      </c>
      <c r="G7" s="43" t="n">
        <v>46295</v>
      </c>
      <c r="H7" s="41" t="inlineStr">
        <is>
          <t>US</t>
        </is>
      </c>
      <c r="I7" s="41" t="inlineStr">
        <is>
          <t>Regulator-published</t>
        </is>
      </c>
      <c r="J7" s="44" t="inlineStr">
        <is>
          <t>Primary source</t>
        </is>
      </c>
      <c r="K7" s="43" t="n">
        <v>46295</v>
      </c>
      <c r="L7" s="41" t="inlineStr">
        <is>
          <t>CRS Insight and NAHB agree.</t>
        </is>
      </c>
    </row>
    <row r="8" ht="46.25" customHeight="1" s="29">
      <c r="A8" s="41" t="inlineStr">
        <is>
          <t>California Sustainable Insurance Strategy</t>
        </is>
      </c>
      <c r="B8" s="41" t="inlineStr">
        <is>
          <t>California</t>
        </is>
      </c>
      <c r="C8" s="41" t="inlineStr">
        <is>
          <t>Catastrophe models and reinsurance costs allowed in rates if insurers commit to write 85% of statewide market share in wildfire-distressed areas; FAIR Plan 29.1% average increase approved effective Oct 15, 2026 (news reports)</t>
        </is>
      </c>
      <c r="D8" s="41" t="inlineStr">
        <is>
          <t>Availability drives whether a home comparison can show any quotes; FAIR Plan plus a DIC policy is a common outcome.</t>
        </is>
      </c>
      <c r="E8" s="41" t="inlineStr">
        <is>
          <t>CA Dept of Insurance - Sustainable Insurance Strategy updates</t>
        </is>
      </c>
      <c r="F8" s="42" t="inlineStr">
        <is>
          <t>https://www.insurance.ca.gov/01-consumers/180-climate-change/SustainableInsuranceStrategy.cfm</t>
        </is>
      </c>
      <c r="G8" s="43" t="n">
        <v>46295</v>
      </c>
      <c r="H8" s="41" t="inlineStr">
        <is>
          <t>California</t>
        </is>
      </c>
      <c r="I8" s="41" t="inlineStr">
        <is>
          <t>Regulator-published</t>
        </is>
      </c>
      <c r="J8" s="45" t="inlineStr">
        <is>
          <t>Secondary - unverified</t>
        </is>
      </c>
      <c r="K8" s="43" t="n">
        <v>46295</v>
      </c>
      <c r="L8" s="41" t="inlineStr">
        <is>
          <t>Regulator source for the strategy; FAIR Plan decision is from news reports.</t>
        </is>
      </c>
    </row>
    <row r="9" ht="23.85" customHeight="1" s="29">
      <c r="A9" s="41" t="inlineStr">
        <is>
          <t>California 2026 home insurance laws</t>
        </is>
      </c>
      <c r="B9" s="41" t="inlineStr">
        <is>
          <t>California</t>
        </is>
      </c>
      <c r="C9" s="41" t="inlineStr">
        <is>
          <t>AB 1, AB 226, AB 888, SB 429, SB 495, SB 547 effective Jan 1, 2026</t>
        </is>
      </c>
      <c r="D9" s="41" t="inlineStr">
        <is>
          <t>Changes discounts review, FAIR Plan financing, wildfire claims payouts and non-renewal protections.</t>
        </is>
      </c>
      <c r="E9" s="41" t="inlineStr">
        <is>
          <t>CDI press release - New laws take effect January 1, 2026 (Dec 30, 2025)</t>
        </is>
      </c>
      <c r="F9" s="42" t="inlineStr">
        <is>
          <t>https://www.insurance.ca.gov/0400-news/0100-press-releases/2025/release079-2025.cfm</t>
        </is>
      </c>
      <c r="G9" s="43" t="n">
        <v>46295</v>
      </c>
      <c r="H9" s="41" t="inlineStr">
        <is>
          <t>California</t>
        </is>
      </c>
      <c r="I9" s="41" t="inlineStr">
        <is>
          <t>Regulator-published</t>
        </is>
      </c>
      <c r="J9" s="44" t="inlineStr">
        <is>
          <t>Primary source</t>
        </is>
      </c>
      <c r="K9" s="43" t="n">
        <v>46295</v>
      </c>
      <c r="L9" s="41" t="inlineStr">
        <is>
          <t>From CDI press release.</t>
        </is>
      </c>
    </row>
    <row r="10" ht="35.05" customHeight="1" s="29">
      <c r="A10" s="41" t="inlineStr">
        <is>
          <t>Florida PIP repeal attempts</t>
        </is>
      </c>
      <c r="B10" s="41" t="inlineStr">
        <is>
          <t>Florida</t>
        </is>
      </c>
      <c r="C10" s="41" t="inlineStr">
        <is>
          <t>SB 522 and HB 769 died in committee on Mar 13, 2026; PIP remains required; next regular session convenes Mar 2, 2027 (per law firms)</t>
        </is>
      </c>
      <c r="D10" s="41" t="inlineStr">
        <is>
          <t>A repeal would replace PIP with mandatory bodily injury liability (proposed 25/50); would change minimums and comparison logic.</t>
        </is>
      </c>
      <c r="E10" s="41" t="inlineStr">
        <is>
          <t>Viles &amp; Beckman - Did Florida repeal no-fault? (Jul 2026)</t>
        </is>
      </c>
      <c r="F10" s="42" t="inlineStr">
        <is>
          <t>https://www.vilesandbeckman.com/blog/did-florida-repeal-no-fault-insurance-the-pip-myths-and-the-facts-for-2026/</t>
        </is>
      </c>
      <c r="G10" s="43" t="n">
        <v>46295</v>
      </c>
      <c r="H10" s="41" t="inlineStr">
        <is>
          <t>Florida</t>
        </is>
      </c>
      <c r="I10" s="41" t="inlineStr">
        <is>
          <t>Reference data (secondary source)</t>
        </is>
      </c>
      <c r="J10" s="45" t="inlineStr">
        <is>
          <t>Secondary - unverified</t>
        </is>
      </c>
      <c r="K10" s="43" t="n">
        <v>46295</v>
      </c>
      <c r="L10" s="41" t="inlineStr">
        <is>
          <t>Verify bill status on flsenate.gov.</t>
        </is>
      </c>
    </row>
    <row r="11" ht="23.85" customHeight="1" s="29">
      <c r="A11" s="41" t="inlineStr">
        <is>
          <t>Texas nonrenewal notice period</t>
        </is>
      </c>
      <c r="B11" s="41" t="inlineStr">
        <is>
          <t>Texas</t>
        </is>
      </c>
      <c r="C11" s="41" t="inlineStr">
        <is>
          <t>60 days' notice if policy bought or renewed in 2024; 30 days for 2023 or earlier (TDI wording)</t>
        </is>
      </c>
      <c r="D11" s="41" t="inlineStr">
        <is>
          <t>Check whether the 60-day rule applies to all later policies.</t>
        </is>
      </c>
      <c r="E11" s="41" t="inlineStr">
        <is>
          <t>Texas Dept of Insurance - Auto insurance guide (CB020)</t>
        </is>
      </c>
      <c r="F11" s="42" t="inlineStr">
        <is>
          <t>https://www.tdi.texas.gov/pubs/consumer/cb020.html</t>
        </is>
      </c>
      <c r="G11" s="43" t="n">
        <v>46295</v>
      </c>
      <c r="H11" s="41" t="inlineStr">
        <is>
          <t>Texas</t>
        </is>
      </c>
      <c r="I11" s="41" t="inlineStr">
        <is>
          <t>Regulator-published</t>
        </is>
      </c>
      <c r="J11" s="44" t="inlineStr">
        <is>
          <t>Primary source</t>
        </is>
      </c>
      <c r="K11" s="43" t="n">
        <v>46295</v>
      </c>
      <c r="L11" s="41" t="inlineStr">
        <is>
          <t>TDI page wording is date-specific; ask TDI.</t>
        </is>
      </c>
    </row>
    <row r="12" ht="23.85" customHeight="1" s="29">
      <c r="A12" s="41" t="inlineStr">
        <is>
          <t>Citizens flood requirement expands</t>
        </is>
      </c>
      <c r="B12" s="41" t="inlineStr">
        <is>
          <t>Florida</t>
        </is>
      </c>
      <c r="C12" s="41" t="inlineStr">
        <is>
          <t>All remaining Citizens wind policies must carry flood coverage from Jan 1, 2027 (per secondary sources)</t>
        </is>
      </c>
      <c r="D12" s="41" t="inlineStr">
        <is>
          <t>Affects Florida home comparisons: flood coverage becomes a condition of keeping the state-backed policy.</t>
        </is>
      </c>
      <c r="E12" s="41" t="inlineStr">
        <is>
          <t>Coverage Classroom - Citizens flood requirement phase-in</t>
        </is>
      </c>
      <c r="F12" s="42" t="inlineStr">
        <is>
          <t>https://coverageclassroom.com/learn/citizens-flood-insurance-requirement</t>
        </is>
      </c>
      <c r="G12" s="43" t="n">
        <v>46295</v>
      </c>
      <c r="H12" s="41" t="inlineStr">
        <is>
          <t>Florida</t>
        </is>
      </c>
      <c r="I12" s="41" t="inlineStr">
        <is>
          <t>Reference data (secondary source)</t>
        </is>
      </c>
      <c r="J12" s="45" t="inlineStr">
        <is>
          <t>Secondary - unverified</t>
        </is>
      </c>
      <c r="K12" s="43" t="n">
        <v>46295</v>
      </c>
      <c r="L12" s="41" t="inlineStr">
        <is>
          <t>Confirm on Citizens' site.</t>
        </is>
      </c>
    </row>
    <row r="13" ht="23.85" customHeight="1" s="29">
      <c r="A13" s="41" t="inlineStr">
        <is>
          <t>Telematics privacy bills</t>
        </is>
      </c>
      <c r="B13" s="41" t="inlineStr">
        <is>
          <t>5 states (incl. MD SB 984, NC)</t>
        </is>
      </c>
      <c r="C13" s="41" t="inlineStr">
        <is>
          <t>Introduced in 2025-2026 sessions</t>
        </is>
      </c>
      <c r="D13" s="41" t="inlineStr">
        <is>
          <t>Distinguishes opt-in programs from connected-car data sharing.</t>
        </is>
      </c>
      <c r="E13" s="41" t="inlineStr">
        <is>
          <t>InsureMojo - Telematics privacy bills 2026</t>
        </is>
      </c>
      <c r="F13" s="42" t="inlineStr">
        <is>
          <t>https://www.insuremojo.com/telematics-insurance-data-privacy-bills-2026/</t>
        </is>
      </c>
      <c r="G13" s="43" t="n">
        <v>46295</v>
      </c>
      <c r="H13" s="41" t="inlineStr">
        <is>
          <t>Multi-state</t>
        </is>
      </c>
      <c r="I13" s="41" t="inlineStr">
        <is>
          <t>Reference data (secondary source)</t>
        </is>
      </c>
      <c r="J13" s="45" t="inlineStr">
        <is>
          <t>Secondary - unverified</t>
        </is>
      </c>
      <c r="K13" s="43" t="n">
        <v>46295</v>
      </c>
      <c r="L13" s="41" t="inlineStr">
        <is>
          <t>Track bill status individually.</t>
        </is>
      </c>
    </row>
    <row r="14" ht="23.85" customHeight="1" s="29">
      <c r="A14" s="41" t="inlineStr">
        <is>
          <t>Minimum liability limit increases</t>
        </is>
      </c>
      <c r="B14" s="41" t="inlineStr">
        <is>
          <t>CA, NC, UT, VA (2025); NJ (2026)</t>
        </is>
      </c>
      <c r="C14" s="41" t="inlineStr">
        <is>
          <t>See State Min Limits tab</t>
        </is>
      </c>
      <c r="D14" s="41" t="inlineStr">
        <is>
          <t>Limits change; keep versioned with effective dates.</t>
        </is>
      </c>
      <c r="E14" s="41" t="inlineStr">
        <is>
          <t>CarInsurance.com - Minimum liability by state (Apr 2026)</t>
        </is>
      </c>
      <c r="F14" s="42" t="inlineStr">
        <is>
          <t>https://www.carinsurance.com/Articles/minimum-liability-car-insurance-requirements-by-state.aspx</t>
        </is>
      </c>
      <c r="G14" s="43" t="n">
        <v>46295</v>
      </c>
      <c r="H14" s="41" t="inlineStr">
        <is>
          <t>Multi-state</t>
        </is>
      </c>
      <c r="I14" s="41" t="inlineStr">
        <is>
          <t>Reference data (secondary source)</t>
        </is>
      </c>
      <c r="J14" s="45" t="inlineStr">
        <is>
          <t>Secondary - unverified</t>
        </is>
      </c>
      <c r="K14" s="43" t="n">
        <v>46295</v>
      </c>
      <c r="L14" s="41" t="inlineStr">
        <is>
          <t>Virginia and NJ conflict; see Conflicts Log.</t>
        </is>
      </c>
    </row>
    <row r="15" ht="23.85" customHeight="1" s="29">
      <c r="A15" s="41" t="inlineStr">
        <is>
          <t>Washington credit ban</t>
        </is>
      </c>
      <c r="B15" s="41" t="inlineStr">
        <is>
          <t>Washington</t>
        </is>
      </c>
      <c r="C15" s="41" t="inlineStr">
        <is>
          <t>Court struck down three-year ban in 2021</t>
        </is>
      </c>
      <c r="D15" s="41" t="inlineStr">
        <is>
          <t>-</t>
        </is>
      </c>
      <c r="E15" s="41" t="inlineStr">
        <is>
          <t>MoneyGeek - Insurers that don't check credit</t>
        </is>
      </c>
      <c r="F15" s="42" t="inlineStr">
        <is>
          <t>https://www.moneygeek.com/insurance/auto/which-insurance-companies-dont-check-credit-score/</t>
        </is>
      </c>
      <c r="G15" s="43" t="n">
        <v>46295</v>
      </c>
      <c r="H15" s="41" t="inlineStr">
        <is>
          <t>Washington</t>
        </is>
      </c>
      <c r="I15" s="41" t="inlineStr">
        <is>
          <t>Reference data (secondary source)</t>
        </is>
      </c>
      <c r="J15" s="45" t="inlineStr">
        <is>
          <t>Secondary - unverified</t>
        </is>
      </c>
      <c r="K15" s="43" t="n">
        <v>46295</v>
      </c>
      <c r="L15" s="41" t="n"/>
    </row>
  </sheetData>
  <autoFilter ref="A1:L15"/>
  <dataValidations count="1">
    <dataValidation sqref="J2:J500" showDropDown="0" showInputMessage="0" showErrorMessage="0" allowBlank="1" type="list" errorStyle="stop" operator="between">
      <formula1>"Primary source,Secondary - unverified,Conflicting,Not researched"</formula1>
      <formula2>0</formula2>
    </dataValidation>
  </dataValidations>
  <hyperlinks>
    <hyperlink xmlns:r="http://schemas.openxmlformats.org/officeDocument/2006/relationships" ref="F2" display="https://techsavvyinsurance.com/answers/which-states-adopted-naic-ai-model-bulletin/" r:id="rId1"/>
    <hyperlink xmlns:r="http://schemas.openxmlformats.org/officeDocument/2006/relationships" ref="F3" display="https://www.meilynx.com/reference/naic-ai-model-bulletin" r:id="rId2"/>
    <hyperlink xmlns:r="http://schemas.openxmlformats.org/officeDocument/2006/relationships" ref="F4" display="https://actuary.info/insights/ai-regulation-insurance-naic-2026" r:id="rId3"/>
    <hyperlink xmlns:r="http://schemas.openxmlformats.org/officeDocument/2006/relationships" ref="F5" display="https://www.leaddistro.ai/blog/one-to-one-consent" r:id="rId4"/>
    <hyperlink xmlns:r="http://schemas.openxmlformats.org/officeDocument/2006/relationships" ref="F6" display="https://www.getinsureleads.com/blog/fcc-one-to-one-consent-rule-status-update-2026" r:id="rId5"/>
    <hyperlink xmlns:r="http://schemas.openxmlformats.org/officeDocument/2006/relationships" ref="F7" display="https://www.congress.gov/crs-product/IN10835" r:id="rId6"/>
    <hyperlink xmlns:r="http://schemas.openxmlformats.org/officeDocument/2006/relationships" ref="F8" display="https://www.insurance.ca.gov/01-consumers/180-climate-change/SustainableInsuranceStrategy.cfm" r:id="rId7"/>
    <hyperlink xmlns:r="http://schemas.openxmlformats.org/officeDocument/2006/relationships" ref="F9" display="https://www.insurance.ca.gov/0400-news/0100-press-releases/2025/release079-2025.cfm" r:id="rId8"/>
    <hyperlink xmlns:r="http://schemas.openxmlformats.org/officeDocument/2006/relationships" ref="F10" display="https://www.vilesandbeckman.com/blog/did-florida-repeal-no-fault-insurance-the-pip-myths-and-the-facts-for-2026/" r:id="rId9"/>
    <hyperlink xmlns:r="http://schemas.openxmlformats.org/officeDocument/2006/relationships" ref="F11" display="https://www.tdi.texas.gov/pubs/consumer/cb020.html" r:id="rId10"/>
    <hyperlink xmlns:r="http://schemas.openxmlformats.org/officeDocument/2006/relationships" ref="F12" display="https://coverageclassroom.com/learn/citizens-flood-insurance-requirement" r:id="rId11"/>
    <hyperlink xmlns:r="http://schemas.openxmlformats.org/officeDocument/2006/relationships" ref="F13" display="https://www.insuremojo.com/telematics-insurance-data-privacy-bills-2026/" r:id="rId12"/>
    <hyperlink xmlns:r="http://schemas.openxmlformats.org/officeDocument/2006/relationships" ref="F14" display="https://www.carinsurance.com/Articles/minimum-liability-car-insurance-requirements-by-state.aspx" r:id="rId13"/>
    <hyperlink xmlns:r="http://schemas.openxmlformats.org/officeDocument/2006/relationships" ref="F15" display="https://www.moneygeek.com/insurance/auto/which-insurance-companies-dont-check-credit-score/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8" min="1" max="1"/>
    <col width="44" customWidth="1" style="28" min="2" max="3"/>
    <col width="24" customWidth="1" style="28" min="4" max="4"/>
    <col width="52" customWidth="1" style="28" min="5" max="5"/>
    <col width="40" customWidth="1" style="28" min="6" max="6"/>
    <col width="20" customWidth="1" style="28" min="7" max="7"/>
    <col width="44" customWidth="1" style="28" min="8" max="8"/>
  </cols>
  <sheetData>
    <row r="1" ht="31.5" customHeight="1" s="29">
      <c r="A1" s="40" t="inlineStr">
        <is>
          <t>Option</t>
        </is>
      </c>
      <c r="B1" s="40" t="inlineStr">
        <is>
          <t>What it is</t>
        </is>
      </c>
      <c r="C1" s="40" t="inlineStr">
        <is>
          <t>Licensing / legal implication</t>
        </is>
      </c>
      <c r="D1" s="40" t="inlineStr">
        <is>
          <t>Data type you can show</t>
        </is>
      </c>
      <c r="E1" s="40" t="inlineStr">
        <is>
          <t>Evidence found</t>
        </is>
      </c>
      <c r="F1" s="40" t="inlineStr">
        <is>
          <t>Source URL</t>
        </is>
      </c>
      <c r="G1" s="40" t="inlineStr">
        <is>
          <t>Verification Status</t>
        </is>
      </c>
      <c r="H1" s="40" t="inlineStr">
        <is>
          <t>Open questions</t>
        </is>
      </c>
    </row>
    <row r="2" ht="35.05" customHeight="1" s="29">
      <c r="A2" s="41" t="inlineStr">
        <is>
          <t>A. Become a licensed agency and integrate carriers directly</t>
        </is>
      </c>
      <c r="B2" s="41" t="inlineStr">
        <is>
          <t>Operate like The Zebra / Insurify: hold producer licenses, connect to carriers, show real-time quotes</t>
        </is>
      </c>
      <c r="C2" s="41" t="inlineStr">
        <is>
          <t>Agents and brokers must be state licensed (CDI). Needs licenses in each state, plus E&amp;O insurance (my note)</t>
        </is>
      </c>
      <c r="D2" s="41" t="inlineStr">
        <is>
          <t>Actual carrier quotes</t>
        </is>
      </c>
      <c r="E2" s="41" t="inlineStr">
        <is>
          <t>The Zebra says it has in-house licensed agents and direct carrier partnerships; Insurify says it integrates with 120+ carriers and has an in-house agency</t>
        </is>
      </c>
      <c r="F2" s="42" t="inlineStr">
        <is>
          <t>https://www.thezebra.com/</t>
        </is>
      </c>
      <c r="G2" s="45" t="inlineStr">
        <is>
          <t>Secondary - unverified</t>
        </is>
      </c>
      <c r="H2" s="41" t="inlineStr">
        <is>
          <t>Which states first? Carrier onboarding requirements and timelines?</t>
        </is>
      </c>
    </row>
    <row r="3" ht="23.85" customHeight="1" s="29">
      <c r="A3" s="41" t="inlineStr">
        <is>
          <t>B. Partner with an existing licensed marketplace</t>
        </is>
      </c>
      <c r="B3" s="41" t="inlineStr">
        <is>
          <t>Send users to a licensed partner that returns real quotes; earn a referral fee</t>
        </is>
      </c>
      <c r="C3" s="41" t="inlineStr">
        <is>
          <t>Depends on the partner's license and your referral flow; needs counsel</t>
        </is>
      </c>
      <c r="D3" s="41" t="inlineStr">
        <is>
          <t>Partner-provided quotes</t>
        </is>
      </c>
      <c r="E3" s="41" t="inlineStr">
        <is>
          <t>Insurify says it earns a commission on purchases; The Zebra says it earns money from carriers</t>
        </is>
      </c>
      <c r="F3" s="42" t="inlineStr">
        <is>
          <t>https://insurify.com/car-insurance/</t>
        </is>
      </c>
      <c r="G3" s="45" t="inlineStr">
        <is>
          <t>Secondary - unverified</t>
        </is>
      </c>
      <c r="H3" s="41" t="inlineStr">
        <is>
          <t>Do partners offer white-label or API access to a new site? Not found publicly.</t>
        </is>
      </c>
    </row>
    <row r="4" ht="23.85" customHeight="1" s="29">
      <c r="A4" s="41" t="inlineStr">
        <is>
          <t>C. Lead-generation model</t>
        </is>
      </c>
      <c r="B4" s="41" t="inlineStr">
        <is>
          <t>Collect user details and hand them to agents or carriers; no live quotes</t>
        </is>
      </c>
      <c r="C4" s="41" t="inlineStr">
        <is>
          <t>Consent rules (TCPA, state laws); possible producer licensing questions</t>
        </is>
      </c>
      <c r="D4" s="41" t="inlineStr">
        <is>
          <t>No quotes; only referrals</t>
        </is>
      </c>
      <c r="E4" s="41" t="inlineStr">
        <is>
          <t>Compare.com describes EverQuote as lead-gen without real-time quotes</t>
        </is>
      </c>
      <c r="F4" s="42" t="inlineStr">
        <is>
          <t>https://www.compare.com/auto-insurance/compare-insurance-companies/best-car-insurance-comparison-sites</t>
        </is>
      </c>
      <c r="G4" s="45" t="inlineStr">
        <is>
          <t>Secondary - unverified</t>
        </is>
      </c>
      <c r="H4" s="41" t="inlineStr">
        <is>
          <t>Consent language; which states treat this as solicitation?</t>
        </is>
      </c>
    </row>
    <row r="5" ht="35.05" customHeight="1" s="29">
      <c r="A5" s="41" t="inlineStr">
        <is>
          <t>D. Buy rate-filing data for estimates</t>
        </is>
      </c>
      <c r="B5" s="41" t="inlineStr">
        <is>
          <t>License ZIP-level rate filing data to show estimated ranges</t>
        </is>
      </c>
      <c r="C5" s="41" t="inlineStr">
        <is>
          <t>Data license terms; must label as Estimate, never as quote</t>
        </is>
      </c>
      <c r="D5" s="41" t="inlineStr">
        <is>
          <t>Estimates only</t>
        </is>
      </c>
      <c r="E5" s="41" t="inlineStr">
        <is>
          <t>The Zebra says its rating tool uses ZIP-level filings from Quadrant Information Services and S&amp;P Global; Insurify also cites Quadrant</t>
        </is>
      </c>
      <c r="F5" s="42" t="inlineStr">
        <is>
          <t>https://www.thezebra.com/auto-insurance/</t>
        </is>
      </c>
      <c r="G5" s="45" t="inlineStr">
        <is>
          <t>Secondary - unverified</t>
        </is>
      </c>
      <c r="H5" s="41" t="inlineStr">
        <is>
          <t>Pricing and public-display rights for this data not found.</t>
        </is>
      </c>
    </row>
    <row r="6" ht="23.85" customHeight="1" s="29">
      <c r="A6" s="41" t="inlineStr">
        <is>
          <t>E. Education and tools only (recommended first)</t>
        </is>
      </c>
      <c r="B6" s="41" t="inlineStr">
        <is>
          <t>No quotes; explainers, calculators, checklists, questions to ask insurers</t>
        </is>
      </c>
      <c r="C6" s="41" t="inlineStr">
        <is>
          <t>Lowest licensing exposure, but still needs disclaimers and privacy compliance; confirm with counsel</t>
        </is>
      </c>
      <c r="D6" s="41" t="inlineStr">
        <is>
          <t>Educational content and user-entered numbers</t>
        </is>
      </c>
      <c r="E6" s="41" t="inlineStr">
        <is>
          <t>Consistent with CDI's own guide, which tells consumers to obtain written quotes from insurers</t>
        </is>
      </c>
      <c r="F6" s="42" t="inlineStr">
        <is>
          <t>https://www.insurance.ca.gov/01-consumers/105-type/95-guides/01-auto/auto101.cfm</t>
        </is>
      </c>
      <c r="G6" s="44" t="inlineStr">
        <is>
          <t>Primary source</t>
        </is>
      </c>
      <c r="H6" s="41" t="inlineStr">
        <is>
          <t>None blocking.</t>
        </is>
      </c>
    </row>
    <row r="8" ht="15" customHeight="1" s="29">
      <c r="A8" s="53" t="inlineStr">
        <is>
          <t>I found no publicly documented, self-serve quote API for a new entrant. These integrations appear to be negotiated business partnerships (my inference).</t>
        </is>
      </c>
    </row>
  </sheetData>
  <hyperlinks>
    <hyperlink xmlns:r="http://schemas.openxmlformats.org/officeDocument/2006/relationships" ref="F2" display="https://www.thezebra.com/" r:id="rId1"/>
    <hyperlink xmlns:r="http://schemas.openxmlformats.org/officeDocument/2006/relationships" ref="F3" display="https://insurify.com/car-insurance/" r:id="rId2"/>
    <hyperlink xmlns:r="http://schemas.openxmlformats.org/officeDocument/2006/relationships" ref="F4" display="https://www.compare.com/auto-insurance/compare-insurance-companies/best-car-insurance-comparison-sites" r:id="rId3"/>
    <hyperlink xmlns:r="http://schemas.openxmlformats.org/officeDocument/2006/relationships" ref="F5" display="https://www.thezebra.com/auto-insurance/" r:id="rId4"/>
    <hyperlink xmlns:r="http://schemas.openxmlformats.org/officeDocument/2006/relationships" ref="F6" display="https://www.insurance.ca.gov/01-consumers/105-type/95-guides/01-auto/auto101.cfm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8" min="1" max="1"/>
    <col width="18" customWidth="1" style="28" min="2" max="2"/>
    <col width="60" customWidth="1" style="28" min="3" max="3"/>
    <col width="55" customWidth="1" style="28" min="4" max="4"/>
    <col width="10" customWidth="1" style="28" min="5" max="5"/>
    <col width="12" customWidth="1" style="28" min="6" max="6"/>
  </cols>
  <sheetData>
    <row r="1" ht="31.5" customHeight="1" s="29">
      <c r="A1" s="40" t="inlineStr">
        <is>
          <t>#</t>
        </is>
      </c>
      <c r="B1" s="40" t="inlineStr">
        <is>
          <t>Topic</t>
        </is>
      </c>
      <c r="C1" s="40" t="inlineStr">
        <is>
          <t>Question for insurance-regulatory counsel</t>
        </is>
      </c>
      <c r="D1" s="40" t="inlineStr">
        <is>
          <t>Why it matters (from the research)</t>
        </is>
      </c>
      <c r="E1" s="40" t="inlineStr">
        <is>
          <t>Priority</t>
        </is>
      </c>
      <c r="F1" s="40" t="inlineStr">
        <is>
          <t>Status</t>
        </is>
      </c>
    </row>
    <row r="2" ht="23.85" customHeight="1" s="29">
      <c r="A2" s="41" t="n">
        <v>1</v>
      </c>
      <c r="B2" s="41" t="inlineStr">
        <is>
          <t>Licensing</t>
        </is>
      </c>
      <c r="C2" s="41" t="inlineStr">
        <is>
          <t>Does an education-and-calculator site that collects no contact details need any license in California or other states?</t>
        </is>
      </c>
      <c r="D2" s="41" t="inlineStr">
        <is>
          <t>Agents and brokers must be licensed (CDI); the line between education and solicitation varies by state</t>
        </is>
      </c>
      <c r="E2" s="41" t="inlineStr">
        <is>
          <t>High</t>
        </is>
      </c>
      <c r="F2" s="41" t="inlineStr">
        <is>
          <t>Open</t>
        </is>
      </c>
    </row>
    <row r="3" ht="23.85" customHeight="1" s="29">
      <c r="A3" s="41" t="n">
        <v>2</v>
      </c>
      <c r="B3" s="41" t="inlineStr">
        <is>
          <t>Licensing</t>
        </is>
      </c>
      <c r="C3" s="41" t="inlineStr">
        <is>
          <t>If we later refer users to carriers or agents, what licenses are needed and may we receive referral fees?</t>
        </is>
      </c>
      <c r="D3" s="41" t="inlineStr">
        <is>
          <t>Referral or lead-gen revenue is the main planned business model</t>
        </is>
      </c>
      <c r="E3" s="41" t="inlineStr">
        <is>
          <t>High</t>
        </is>
      </c>
      <c r="F3" s="41" t="inlineStr">
        <is>
          <t>Open</t>
        </is>
      </c>
    </row>
    <row r="4" ht="23.85" customHeight="1" s="29">
      <c r="A4" s="41" t="n">
        <v>3</v>
      </c>
      <c r="B4" s="41" t="inlineStr">
        <is>
          <t>Advertising</t>
        </is>
      </c>
      <c r="C4" s="41" t="inlineStr">
        <is>
          <t>What rules govern comparison claims, 'estimate' labels and any 'lower displayed premium' wording?</t>
        </is>
      </c>
      <c r="D4" s="41" t="inlineStr">
        <is>
          <t>Spec requires never presenting an estimate as a quote; states regulate insurance advertising</t>
        </is>
      </c>
      <c r="E4" s="41" t="inlineStr">
        <is>
          <t>High</t>
        </is>
      </c>
      <c r="F4" s="41" t="inlineStr">
        <is>
          <t>Open</t>
        </is>
      </c>
    </row>
    <row r="5" ht="23.85" customHeight="1" s="29">
      <c r="A5" s="41" t="n">
        <v>4</v>
      </c>
      <c r="B5" s="41" t="inlineStr">
        <is>
          <t>Consent</t>
        </is>
      </c>
      <c r="C5" s="41" t="inlineStr">
        <is>
          <t>What consent language do we need for phone, text and email contact, given the vacated federal one-to-one rule and state mini-TCPA laws?</t>
        </is>
      </c>
      <c r="D5" s="41" t="inlineStr">
        <is>
          <t>Penalties can run $500-$1,500 per call; state laws (FL, OK, WA, TX) still apply</t>
        </is>
      </c>
      <c r="E5" s="41" t="inlineStr">
        <is>
          <t>High</t>
        </is>
      </c>
      <c r="F5" s="41" t="inlineStr">
        <is>
          <t>Open</t>
        </is>
      </c>
    </row>
    <row r="6" ht="23.85" customHeight="1" s="29">
      <c r="A6" s="41" t="n">
        <v>5</v>
      </c>
      <c r="B6" s="41" t="inlineStr">
        <is>
          <t>Privacy</t>
        </is>
      </c>
      <c r="C6" s="41" t="inlineStr">
        <is>
          <t>What CCPA/CPRA and other state privacy duties apply to VINs, driver data, and uploaded policy documents? Retention and breach obligations?</t>
        </is>
      </c>
      <c r="D6" s="41" t="inlineStr">
        <is>
          <t>Site will hold sensitive personal and financial data</t>
        </is>
      </c>
      <c r="E6" s="41" t="inlineStr">
        <is>
          <t>High</t>
        </is>
      </c>
      <c r="F6" s="41" t="inlineStr">
        <is>
          <t>Open</t>
        </is>
      </c>
    </row>
    <row r="7" ht="35.05" customHeight="1" s="29">
      <c r="A7" s="41" t="n">
        <v>6</v>
      </c>
      <c r="B7" s="41" t="inlineStr">
        <is>
          <t>AI / advice</t>
        </is>
      </c>
      <c r="C7" s="41" t="inlineStr">
        <is>
          <t>Does the policy-document analyzer or 'coverage gap' output risk being treated as insurance advice? What disclaimers and human-review steps are appropriate?</t>
        </is>
      </c>
      <c r="D7" s="41" t="inlineStr">
        <is>
          <t>No case law found on consumer comparison-site AI; hallucination risks in document extraction</t>
        </is>
      </c>
      <c r="E7" s="41" t="inlineStr">
        <is>
          <t>High</t>
        </is>
      </c>
      <c r="F7" s="41" t="inlineStr">
        <is>
          <t>Open</t>
        </is>
      </c>
    </row>
    <row r="8" ht="23.85" customHeight="1" s="29">
      <c r="A8" s="41" t="n">
        <v>7</v>
      </c>
      <c r="B8" s="41" t="inlineStr">
        <is>
          <t>AI regulation</t>
        </is>
      </c>
      <c r="C8" s="41" t="inlineStr">
        <is>
          <t>Do the NAIC AI bulletin or Colorado Reg 10-1-1 apply to us if we sell tools to carriers or agents?</t>
        </is>
      </c>
      <c r="D8" s="41" t="inlineStr">
        <is>
          <t>Bulletin governs insurers; Colorado rule extends to private passenger auto from Jul 1, 2026</t>
        </is>
      </c>
      <c r="E8" s="41" t="inlineStr">
        <is>
          <t>Medium</t>
        </is>
      </c>
      <c r="F8" s="41" t="inlineStr">
        <is>
          <t>Open</t>
        </is>
      </c>
    </row>
    <row r="9" ht="23.85" customHeight="1" s="29">
      <c r="A9" s="41" t="n">
        <v>8</v>
      </c>
      <c r="B9" s="41" t="inlineStr">
        <is>
          <t>Disclosure</t>
        </is>
      </c>
      <c r="C9" s="41" t="inlineStr">
        <is>
          <t>How must we disclose carrier payments and ensure ordering is not influenced by them?</t>
        </is>
      </c>
      <c r="D9" s="41" t="inlineStr">
        <is>
          <t>Neutral labels and commercial-relationship disclosure are core to the concept</t>
        </is>
      </c>
      <c r="E9" s="41" t="inlineStr">
        <is>
          <t>High</t>
        </is>
      </c>
      <c r="F9" s="41" t="inlineStr">
        <is>
          <t>Open</t>
        </is>
      </c>
    </row>
    <row r="10" ht="23.85" customHeight="1" s="29">
      <c r="A10" s="41" t="n">
        <v>9</v>
      </c>
      <c r="B10" s="41" t="inlineStr">
        <is>
          <t>Third-party data</t>
        </is>
      </c>
      <c r="C10" s="41" t="inlineStr">
        <is>
          <t>May we display NAIC materials and licensed rate-filing data publicly, and on what terms?</t>
        </is>
      </c>
      <c r="D10" s="41" t="inlineStr">
        <is>
          <t>NAIC tool has copyright terms; rate data comes from commercial providers</t>
        </is>
      </c>
      <c r="E10" s="41" t="inlineStr">
        <is>
          <t>Medium</t>
        </is>
      </c>
      <c r="F10" s="41" t="inlineStr">
        <is>
          <t>Open</t>
        </is>
      </c>
    </row>
    <row r="11" ht="23.85" customHeight="1" s="29">
      <c r="A11" s="41" t="n">
        <v>10</v>
      </c>
      <c r="B11" s="41" t="inlineStr">
        <is>
          <t>Telematics content</t>
        </is>
      </c>
      <c r="C11" s="41" t="inlineStr">
        <is>
          <t>Are there restrictions on how we describe telematics programs, especially in California?</t>
        </is>
      </c>
      <c r="D11" s="41" t="inlineStr">
        <is>
          <t>CA regulation limits devices to mileage collection; state privacy bills pending</t>
        </is>
      </c>
      <c r="E11" s="41" t="inlineStr">
        <is>
          <t>Medium</t>
        </is>
      </c>
      <c r="F11" s="41" t="inlineStr">
        <is>
          <t>Open</t>
        </is>
      </c>
    </row>
    <row r="12" ht="35.05" customHeight="1" s="29">
      <c r="A12" s="41" t="n">
        <v>11</v>
      </c>
      <c r="B12" s="41" t="inlineStr">
        <is>
          <t>California rules</t>
        </is>
      </c>
      <c r="C12" s="41" t="inlineStr">
        <is>
          <t>Please confirm our reading of 10 CCR 2632.5 (approved rating factors) and Advisory Notice 2005-02 (no paid-in-full discount; six-month premium equals half of annual).</t>
        </is>
      </c>
      <c r="D12" s="41" t="inlineStr">
        <is>
          <t>We derived 'credit, gender and age not permitted' from the regulation text</t>
        </is>
      </c>
      <c r="E12" s="41" t="inlineStr">
        <is>
          <t>High</t>
        </is>
      </c>
      <c r="F12" s="41" t="inlineStr">
        <is>
          <t>Open</t>
        </is>
      </c>
    </row>
    <row r="13" ht="23.85" customHeight="1" s="29">
      <c r="A13" s="41" t="n">
        <v>12</v>
      </c>
      <c r="B13" s="41" t="inlineStr">
        <is>
          <t>Terms</t>
        </is>
      </c>
      <c r="C13" s="41" t="inlineStr">
        <is>
          <t>Terms of service, limitation of liability, arbitration and E&amp;O insurance for the site?</t>
        </is>
      </c>
      <c r="D13" s="41" t="inlineStr">
        <is>
          <t>Standard protections for a consumer advice product</t>
        </is>
      </c>
      <c r="E13" s="41" t="inlineStr">
        <is>
          <t>Medium</t>
        </is>
      </c>
      <c r="F13" s="41" t="inlineStr">
        <is>
          <t>Open</t>
        </is>
      </c>
    </row>
    <row r="14" ht="15" customHeight="1" s="29">
      <c r="A14" s="41" t="n">
        <v>13</v>
      </c>
      <c r="B14" s="41" t="inlineStr">
        <is>
          <t>Minors</t>
        </is>
      </c>
      <c r="C14" s="41" t="inlineStr">
        <is>
          <t>How do we handle teen-driver inputs and users under 18?</t>
        </is>
      </c>
      <c r="D14" s="41" t="inlineStr">
        <is>
          <t>Spec targets young drivers and families</t>
        </is>
      </c>
      <c r="E14" s="41" t="inlineStr">
        <is>
          <t>Medium</t>
        </is>
      </c>
      <c r="F14" s="41" t="inlineStr">
        <is>
          <t>Open</t>
        </is>
      </c>
    </row>
    <row r="15" ht="23.85" customHeight="1" s="29">
      <c r="A15" s="41" t="n">
        <v>14</v>
      </c>
      <c r="B15" s="41" t="inlineStr">
        <is>
          <t>California home</t>
        </is>
      </c>
      <c r="C15" s="41" t="inlineStr">
        <is>
          <t>How should we present FAIR Plan plus difference-in-conditions coverage without appearing to recommend a product?</t>
        </is>
      </c>
      <c r="D15" s="41" t="inlineStr">
        <is>
          <t>CDI says FAIR Plan is a basic fire policy with no liability; a supplemental policy should be considered</t>
        </is>
      </c>
      <c r="E15" s="41" t="inlineStr">
        <is>
          <t>High</t>
        </is>
      </c>
      <c r="F15" s="41" t="inlineStr">
        <is>
          <t>Open</t>
        </is>
      </c>
    </row>
    <row r="16" ht="23.85" customHeight="1" s="29">
      <c r="A16" s="41" t="n">
        <v>15</v>
      </c>
      <c r="B16" s="41" t="inlineStr">
        <is>
          <t>California home</t>
        </is>
      </c>
      <c r="C16" s="41" t="inlineStr">
        <is>
          <t>What rules apply if we display or compute a replacement-cost estimate for a home?</t>
        </is>
      </c>
      <c r="D16" s="41" t="inlineStr">
        <is>
          <t>CDI guide says an estimate given to an applicant who buys must be provided in writing</t>
        </is>
      </c>
      <c r="E16" s="41" t="inlineStr">
        <is>
          <t>Medium</t>
        </is>
      </c>
      <c r="F16" s="41" t="inlineStr">
        <is>
          <t>Open</t>
        </is>
      </c>
    </row>
    <row r="17" ht="23.85" customHeight="1" s="29">
      <c r="A17" s="41" t="n">
        <v>16</v>
      </c>
      <c r="B17" s="41" t="inlineStr">
        <is>
          <t>California home</t>
        </is>
      </c>
      <c r="C17" s="41" t="inlineStr">
        <is>
          <t>Can we link to or reuse CDI tools (Home Insurance Finder) and describe wildfire risk score appeal rights?</t>
        </is>
      </c>
      <c r="D17" s="41" t="inlineStr">
        <is>
          <t>Regulation gives policyholders disclosure and appeal rights; tool terms unknown</t>
        </is>
      </c>
      <c r="E17" s="41" t="inlineStr">
        <is>
          <t>Low</t>
        </is>
      </c>
      <c r="F17" s="41" t="inlineStr">
        <is>
          <t>Open</t>
        </is>
      </c>
    </row>
    <row r="18" ht="23.85" customHeight="1" s="29">
      <c r="A18" s="41" t="n">
        <v>17</v>
      </c>
      <c r="B18" s="41" t="inlineStr">
        <is>
          <t>California home</t>
        </is>
      </c>
      <c r="C18" s="41" t="inlineStr">
        <is>
          <t>May credit information be used in California homeowners underwriting or rating, and how should we describe this?</t>
        </is>
      </c>
      <c r="D18" s="41" t="inlineStr">
        <is>
          <t>Sources conflict and no explicit statute was found</t>
        </is>
      </c>
      <c r="E18" s="41" t="inlineStr">
        <is>
          <t>High</t>
        </is>
      </c>
      <c r="F18" s="41" t="inlineStr">
        <is>
          <t>Open</t>
        </is>
      </c>
    </row>
    <row r="19" ht="23.85" customHeight="1" s="29">
      <c r="A19" s="41" t="n">
        <v>18</v>
      </c>
      <c r="B19" s="41" t="inlineStr">
        <is>
          <t>Multi-state</t>
        </is>
      </c>
      <c r="C19" s="41" t="inlineStr">
        <is>
          <t>Do Texas, Florida or New York impose rules on how a comparison site describes credit use, discounts, or no-fault/PIP requirements?</t>
        </is>
      </c>
      <c r="D19" s="41" t="inlineStr">
        <is>
          <t>Each state regulates rating disclosure and discounts differently (e.g., NY mandated discounts, FL credit statute, TX rate rules)</t>
        </is>
      </c>
      <c r="E19" s="41" t="inlineStr">
        <is>
          <t>Medium</t>
        </is>
      </c>
      <c r="F19" s="41" t="inlineStr">
        <is>
          <t>Open</t>
        </is>
      </c>
    </row>
    <row r="20" ht="35.05" customHeight="1" s="29">
      <c r="A20" s="41" t="n">
        <v>19</v>
      </c>
      <c r="B20" s="41" t="inlineStr">
        <is>
          <t>Multi-state home</t>
        </is>
      </c>
      <c r="C20" s="41" t="inlineStr">
        <is>
          <t>How should we present state-backed pools (TWIA, Citizens, Texas FAIR Plan) and percentage wind/hurricane deductibles without appearing to recommend a product?</t>
        </is>
      </c>
      <c r="D20" s="41" t="inlineStr">
        <is>
          <t>Availability and deductibles drive real cost; these pools are last-resort or limited-peril</t>
        </is>
      </c>
      <c r="E20" s="41" t="inlineStr">
        <is>
          <t>Medium</t>
        </is>
      </c>
      <c r="F20" s="41" t="inlineStr">
        <is>
          <t>Open</t>
        </is>
      </c>
    </row>
    <row r="21" ht="15" customHeight="1" s="29">
      <c r="A21" s="41" t="n">
        <v>20</v>
      </c>
      <c r="B21" s="41" t="inlineStr">
        <is>
          <t>Accessibility</t>
        </is>
      </c>
      <c r="C21" s="41" t="inlineStr">
        <is>
          <t>What ADA/WCAG obligations apply?</t>
        </is>
      </c>
      <c r="D21" s="41" t="inlineStr">
        <is>
          <t>Spec requires an accessible site</t>
        </is>
      </c>
      <c r="E21" s="41" t="inlineStr">
        <is>
          <t>Low</t>
        </is>
      </c>
      <c r="F21" s="41" t="inlineStr">
        <is>
          <t>Open</t>
        </is>
      </c>
    </row>
    <row r="23" ht="15" customHeight="1" s="29">
      <c r="A23" s="53" t="inlineStr">
        <is>
          <t>This is a list of questions to bring to counsel. It is not legal advice and does not replace a lawyer's review.</t>
        </is>
      </c>
    </row>
  </sheetData>
  <autoFilter ref="A1:F21"/>
  <dataValidations count="1">
    <dataValidation sqref="F2:F200" showDropDown="0" showInputMessage="0" showErrorMessage="0" allowBlank="1" type="list" errorStyle="stop" operator="between">
      <formula1>"Open,In progress,Answered"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28" min="1" max="1"/>
    <col width="56" customWidth="1" style="28" min="2" max="2"/>
    <col width="22" customWidth="1" style="28" min="3" max="3"/>
    <col width="14" customWidth="1" style="28" min="4" max="4"/>
    <col width="44" customWidth="1" style="28" min="5" max="5"/>
    <col width="14" customWidth="1" style="28" min="6" max="6"/>
    <col width="16" customWidth="1" style="28" min="7" max="8"/>
  </cols>
  <sheetData>
    <row r="1" ht="31.5" customHeight="1" s="29">
      <c r="A1" s="40" t="inlineStr">
        <is>
          <t>Data Set</t>
        </is>
      </c>
      <c r="B1" s="40" t="inlineStr">
        <is>
          <t>Primary Source to Check</t>
        </is>
      </c>
      <c r="C1" s="40" t="inlineStr">
        <is>
          <t>Owner (assign)</t>
        </is>
      </c>
      <c r="D1" s="40" t="inlineStr">
        <is>
          <t>Review Every (days)</t>
        </is>
      </c>
      <c r="E1" s="40" t="inlineStr">
        <is>
          <t>Trigger Events</t>
        </is>
      </c>
      <c r="F1" s="40" t="inlineStr">
        <is>
          <t>Last Verified</t>
        </is>
      </c>
      <c r="G1" s="40" t="inlineStr">
        <is>
          <t>Next Review Due</t>
        </is>
      </c>
      <c r="H1" s="40" t="inlineStr">
        <is>
          <t>Status</t>
        </is>
      </c>
    </row>
    <row r="2" ht="15" customHeight="1" s="29">
      <c r="A2" s="41" t="inlineStr">
        <is>
          <t>California auto - minimum limits and coverages</t>
        </is>
      </c>
      <c r="B2" s="41" t="inlineStr">
        <is>
          <t>CA DMV and CDI pages; Insurance Code 11580.1</t>
        </is>
      </c>
      <c r="C2" s="54" t="n"/>
      <c r="D2" s="55" t="n">
        <v>90</v>
      </c>
      <c r="E2" s="41" t="inlineStr">
        <is>
          <t>New legislation; Jan 1 effective dates; CDI bulletins</t>
        </is>
      </c>
      <c r="F2" s="56" t="n">
        <v>46295</v>
      </c>
      <c r="G2" s="43">
        <f>IF(F2="","Verify now",F2+D2)</f>
        <v/>
      </c>
      <c r="H2" s="41">
        <f>IF(F2="","Never verified",IF(TODAY()&gt;F2+D2,"Overdue","OK"))</f>
        <v/>
      </c>
    </row>
    <row r="3" ht="23.85" customHeight="1" s="29">
      <c r="A3" s="41" t="inlineStr">
        <is>
          <t>California auto - rating factors and discounts</t>
        </is>
      </c>
      <c r="B3" s="41" t="inlineStr">
        <is>
          <t>10 CCR 2632.5, 2632.12; Ins. Code 1861.02, 11628.3; CDI advisory notices</t>
        </is>
      </c>
      <c r="C3" s="54" t="n"/>
      <c r="D3" s="55" t="n">
        <v>180</v>
      </c>
      <c r="E3" s="41" t="inlineStr">
        <is>
          <t>CDI regulation changes; new advisory notices</t>
        </is>
      </c>
      <c r="F3" s="56" t="n">
        <v>46295</v>
      </c>
      <c r="G3" s="43">
        <f>IF(F3="","Verify now",F3+D3)</f>
        <v/>
      </c>
      <c r="H3" s="41">
        <f>IF(F3="","Never verified",IF(TODAY()&gt;F3+D3,"Overdue","OK"))</f>
        <v/>
      </c>
    </row>
    <row r="4" ht="23.85" customHeight="1" s="29">
      <c r="A4" s="41" t="inlineStr">
        <is>
          <t>California home - coverage rules and consumer rights</t>
        </is>
      </c>
      <c r="B4" s="41" t="inlineStr">
        <is>
          <t>CDI Form 401; CDI earthquake and flood pages; Insurance Code</t>
        </is>
      </c>
      <c r="C4" s="54" t="n"/>
      <c r="D4" s="55" t="n">
        <v>180</v>
      </c>
      <c r="E4" s="41" t="inlineStr">
        <is>
          <t>New CDI guide revision; new legislation (Jan 1 effective dates)</t>
        </is>
      </c>
      <c r="F4" s="56" t="n">
        <v>46295</v>
      </c>
      <c r="G4" s="43">
        <f>IF(F4="","Verify now",F4+D4)</f>
        <v/>
      </c>
      <c r="H4" s="41">
        <f>IF(F4="","Never verified",IF(TODAY()&gt;F4+D4,"Overdue","OK"))</f>
        <v/>
      </c>
    </row>
    <row r="5" ht="23.85" customHeight="1" s="29">
      <c r="A5" s="41" t="inlineStr">
        <is>
          <t>California home - FAIR Plan, SIS, wildfire discounts</t>
        </is>
      </c>
      <c r="B5" s="41" t="inlineStr">
        <is>
          <t>CDI press releases and orders; FAIR Plan site; 10 CCR 2644.9</t>
        </is>
      </c>
      <c r="C5" s="54" t="n"/>
      <c r="D5" s="55" t="n">
        <v>30</v>
      </c>
      <c r="E5" s="41" t="inlineStr">
        <is>
          <t>FAIR Plan rate orders; Safer from Wildfires updates under AB 1; market exits or entries</t>
        </is>
      </c>
      <c r="F5" s="56" t="n">
        <v>46295</v>
      </c>
      <c r="G5" s="43">
        <f>IF(F5="","Verify now",F5+D5)</f>
        <v/>
      </c>
      <c r="H5" s="41">
        <f>IF(F5="","Never verified",IF(TODAY()&gt;F5+D5,"Overdue","OK"))</f>
        <v/>
      </c>
    </row>
    <row r="6" ht="23.85" customHeight="1" s="29">
      <c r="A6" s="41" t="inlineStr">
        <is>
          <t>Texas, Florida, New York - auto rules</t>
        </is>
      </c>
      <c r="B6" s="41" t="inlineStr">
        <is>
          <t>TDI; FLHSMV and Florida Statutes; NY DFS and Insurance Law</t>
        </is>
      </c>
      <c r="C6" s="54" t="n"/>
      <c r="D6" s="55" t="n">
        <v>90</v>
      </c>
      <c r="E6" s="41" t="inlineStr">
        <is>
          <t>Legislative sessions (FL Mar 2027); regulator guide revisions</t>
        </is>
      </c>
      <c r="F6" s="56" t="n">
        <v>46295</v>
      </c>
      <c r="G6" s="43">
        <f>IF(F6="","Verify now",F6+D6)</f>
        <v/>
      </c>
      <c r="H6" s="41">
        <f>IF(F6="","Never verified",IF(TODAY()&gt;F6+D6,"Overdue","OK"))</f>
        <v/>
      </c>
    </row>
    <row r="7" ht="23.85" customHeight="1" s="29">
      <c r="A7" s="41" t="inlineStr">
        <is>
          <t>Texas and Florida home rules</t>
        </is>
      </c>
      <c r="B7" s="41" t="inlineStr">
        <is>
          <t>TDI; TWIA; Florida DFS and OIR; Citizens; Florida Statutes 627.351, 627.701</t>
        </is>
      </c>
      <c r="C7" s="54" t="n"/>
      <c r="D7" s="55" t="n">
        <v>30</v>
      </c>
      <c r="E7" s="41" t="inlineStr">
        <is>
          <t>Citizens flood phase-in; hurricane season; TWIA limit changes</t>
        </is>
      </c>
      <c r="F7" s="56" t="n">
        <v>46295</v>
      </c>
      <c r="G7" s="43">
        <f>IF(F7="","Verify now",F7+D7)</f>
        <v/>
      </c>
      <c r="H7" s="41">
        <f>IF(F7="","Never verified",IF(TODAY()&gt;F7+D7,"Overdue","OK"))</f>
        <v/>
      </c>
    </row>
    <row r="8" ht="15" customHeight="1" s="29">
      <c r="A8" s="41" t="inlineStr">
        <is>
          <t>Other states - minimum liability limits</t>
        </is>
      </c>
      <c r="B8" s="41" t="inlineStr">
        <is>
          <t>Each state DOI / DMV site</t>
        </is>
      </c>
      <c r="C8" s="54" t="n"/>
      <c r="D8" s="55" t="n">
        <v>90</v>
      </c>
      <c r="E8" s="41" t="inlineStr">
        <is>
          <t>Legislative sessions; Jan 1 and Jul 1 effective dates</t>
        </is>
      </c>
      <c r="F8" s="56" t="n"/>
      <c r="G8" s="43">
        <f>IF(F8="","Verify now",F8+D8)</f>
        <v/>
      </c>
      <c r="H8" s="41">
        <f>IF(F8="","Never verified",IF(TODAY()&gt;F8+D8,"Overdue","OK"))</f>
        <v/>
      </c>
    </row>
    <row r="9" ht="15" customHeight="1" s="29">
      <c r="A9" s="41" t="inlineStr">
        <is>
          <t>Rating factor rules by state</t>
        </is>
      </c>
      <c r="B9" s="41" t="inlineStr">
        <is>
          <t>State statutes and DOI pages</t>
        </is>
      </c>
      <c r="C9" s="54" t="n"/>
      <c r="D9" s="55" t="n">
        <v>180</v>
      </c>
      <c r="E9" s="41" t="inlineStr">
        <is>
          <t>New bills on credit, gender or age use</t>
        </is>
      </c>
      <c r="F9" s="56" t="n"/>
      <c r="G9" s="43">
        <f>IF(F9="","Verify now",F9+D9)</f>
        <v/>
      </c>
      <c r="H9" s="41">
        <f>IF(F9="","Never verified",IF(TODAY()&gt;F9+D9,"Overdue","OK"))</f>
        <v/>
      </c>
    </row>
    <row r="10" ht="15" customHeight="1" s="29">
      <c r="A10" s="41" t="inlineStr">
        <is>
          <t>Discount availability by state</t>
        </is>
      </c>
      <c r="B10" s="41" t="inlineStr">
        <is>
          <t>State DOI pages; carrier filings</t>
        </is>
      </c>
      <c r="C10" s="54" t="n"/>
      <c r="D10" s="55" t="n">
        <v>180</v>
      </c>
      <c r="E10" s="41" t="inlineStr">
        <is>
          <t>Carrier filing changes</t>
        </is>
      </c>
      <c r="F10" s="56" t="n"/>
      <c r="G10" s="43">
        <f>IF(F10="","Verify now",F10+D10)</f>
        <v/>
      </c>
      <c r="H10" s="41">
        <f>IF(F10="","Never verified",IF(TODAY()&gt;F10+D10,"Overdue","OK"))</f>
        <v/>
      </c>
    </row>
    <row r="11" ht="15" customHeight="1" s="29">
      <c r="A11" s="41" t="inlineStr">
        <is>
          <t>Telematics programs</t>
        </is>
      </c>
      <c r="B11" s="41" t="inlineStr">
        <is>
          <t>Carrier sites and state filings</t>
        </is>
      </c>
      <c r="C11" s="54" t="n"/>
      <c r="D11" s="55" t="n">
        <v>90</v>
      </c>
      <c r="E11" s="41" t="inlineStr">
        <is>
          <t>New program launches; privacy bills</t>
        </is>
      </c>
      <c r="F11" s="56" t="n"/>
      <c r="G11" s="43">
        <f>IF(F11="","Verify now",F11+D11)</f>
        <v/>
      </c>
      <c r="H11" s="41">
        <f>IF(F11="","Never verified",IF(TODAY()&gt;F11+D11,"Overdue","OK"))</f>
        <v/>
      </c>
    </row>
    <row r="12" ht="23.85" customHeight="1" s="29">
      <c r="A12" s="41" t="inlineStr">
        <is>
          <t>NFIP authorization status</t>
        </is>
      </c>
      <c r="B12" s="41" t="inlineStr">
        <is>
          <t>FEMA; Congress.gov</t>
        </is>
      </c>
      <c r="C12" s="54" t="n"/>
      <c r="D12" s="55" t="n">
        <v>30</v>
      </c>
      <c r="E12" s="41" t="inlineStr">
        <is>
          <t>Funding deadlines; shutdown risk (next: Dec 11, 2026)</t>
        </is>
      </c>
      <c r="F12" s="56" t="n">
        <v>46295</v>
      </c>
      <c r="G12" s="43">
        <f>IF(F12="","Verify now",F12+D12)</f>
        <v/>
      </c>
      <c r="H12" s="41">
        <f>IF(F12="","Never verified",IF(TODAY()&gt;F12+D12,"Overdue","OK"))</f>
        <v/>
      </c>
    </row>
    <row r="13" ht="15" customHeight="1" s="29">
      <c r="A13" s="41" t="inlineStr">
        <is>
          <t>CEA earthquake terms</t>
        </is>
      </c>
      <c r="B13" s="41" t="inlineStr">
        <is>
          <t>earthquakeauthority.com</t>
        </is>
      </c>
      <c r="C13" s="54" t="n"/>
      <c r="D13" s="55" t="n">
        <v>180</v>
      </c>
      <c r="E13" s="41" t="inlineStr">
        <is>
          <t>CEA rate or product changes</t>
        </is>
      </c>
      <c r="F13" s="56" t="n"/>
      <c r="G13" s="43">
        <f>IF(F13="","Verify now",F13+D13)</f>
        <v/>
      </c>
      <c r="H13" s="41">
        <f>IF(F13="","Never verified",IF(TODAY()&gt;F13+D13,"Overdue","OK"))</f>
        <v/>
      </c>
    </row>
    <row r="14" ht="15" customHeight="1" s="29">
      <c r="A14" s="41" t="inlineStr">
        <is>
          <t>Price benchmarks</t>
        </is>
      </c>
      <c r="B14" s="41" t="inlineStr">
        <is>
          <t>Source publishers; NAIC database reports</t>
        </is>
      </c>
      <c r="C14" s="54" t="n"/>
      <c r="D14" s="55" t="n">
        <v>90</v>
      </c>
      <c r="E14" s="41" t="inlineStr">
        <is>
          <t>New annual reports; rate filings</t>
        </is>
      </c>
      <c r="F14" s="56" t="n"/>
      <c r="G14" s="43">
        <f>IF(F14="","Verify now",F14+D14)</f>
        <v/>
      </c>
      <c r="H14" s="41">
        <f>IF(F14="","Never verified",IF(TODAY()&gt;F14+D14,"Overdue","OK"))</f>
        <v/>
      </c>
    </row>
    <row r="15" ht="15" customHeight="1" s="29">
      <c r="A15" s="41" t="inlineStr">
        <is>
          <t>Regulatory Watch items</t>
        </is>
      </c>
      <c r="B15" s="41" t="inlineStr">
        <is>
          <t>NAIC, state DOIs, Congress.gov</t>
        </is>
      </c>
      <c r="C15" s="54" t="n"/>
      <c r="D15" s="55" t="n">
        <v>30</v>
      </c>
      <c r="E15" s="41" t="inlineStr">
        <is>
          <t>Any new bulletin or law</t>
        </is>
      </c>
      <c r="F15" s="56" t="n"/>
      <c r="G15" s="43">
        <f>IF(F15="","Verify now",F15+D15)</f>
        <v/>
      </c>
      <c r="H15" s="41">
        <f>IF(F15="","Never verified",IF(TODAY()&gt;F15+D15,"Overdue","OK"))</f>
        <v/>
      </c>
    </row>
    <row r="16" ht="15" customHeight="1" s="29">
      <c r="A16" s="41" t="inlineStr">
        <is>
          <t>Conflicts Log</t>
        </is>
      </c>
      <c r="B16" s="41" t="inlineStr">
        <is>
          <t>Primary sources listed in the log</t>
        </is>
      </c>
      <c r="C16" s="54" t="n"/>
      <c r="D16" s="55" t="n">
        <v>30</v>
      </c>
      <c r="E16" s="41" t="inlineStr">
        <is>
          <t>When a conflict is resolved</t>
        </is>
      </c>
      <c r="F16" s="56" t="n"/>
      <c r="G16" s="43">
        <f>IF(F16="","Verify now",F16+D16)</f>
        <v/>
      </c>
      <c r="H16" s="41">
        <f>IF(F16="","Never verified",IF(TODAY()&gt;F16+D16,"Overdue","OK"))</f>
        <v/>
      </c>
    </row>
    <row r="17" ht="15" customHeight="1" s="29">
      <c r="A17" s="41" t="inlineStr">
        <is>
          <t>Source URLs (link check)</t>
        </is>
      </c>
      <c r="B17" s="41" t="inlineStr">
        <is>
          <t>Sources tab</t>
        </is>
      </c>
      <c r="C17" s="54" t="n"/>
      <c r="D17" s="55" t="n">
        <v>90</v>
      </c>
      <c r="E17" s="41" t="inlineStr">
        <is>
          <t>Broken links</t>
        </is>
      </c>
      <c r="F17" s="56" t="n"/>
      <c r="G17" s="43">
        <f>IF(F17="","Verify now",F17+D17)</f>
        <v/>
      </c>
      <c r="H17" s="41">
        <f>IF(F17="","Never verified",IF(TODAY()&gt;F17+D17,"Overdue","OK"))</f>
        <v/>
      </c>
    </row>
    <row r="18" ht="15" customHeight="1" s="29">
      <c r="A18" s="41" t="inlineStr">
        <is>
          <t>Disclosures and legal language</t>
        </is>
      </c>
      <c r="B18" s="41" t="inlineStr">
        <is>
          <t>Counsel</t>
        </is>
      </c>
      <c r="C18" s="54" t="n"/>
      <c r="D18" s="55" t="n">
        <v>180</v>
      </c>
      <c r="E18" s="41" t="inlineStr">
        <is>
          <t>Law changes; new business model</t>
        </is>
      </c>
      <c r="F18" s="56" t="n"/>
      <c r="G18" s="43">
        <f>IF(F18="","Verify now",F18+D18)</f>
        <v/>
      </c>
      <c r="H18" s="41">
        <f>IF(F18="","Never verified",IF(TODAY()&gt;F18+D18,"Overdue","OK"))</f>
        <v/>
      </c>
    </row>
    <row r="20" ht="15" customHeight="1" s="29">
      <c r="A20" s="53" t="inlineStr">
        <is>
          <t>Yellow cells: assign an owner. Blue cells: edit the review interval and Last Verified date after each check. Next Review Due and Status are formulas. Review intervals are suggestions, not researched requirements.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8" min="1" max="1"/>
    <col width="44" customWidth="1" style="28" min="2" max="3"/>
    <col width="38" customWidth="1" style="28" min="4" max="4"/>
    <col width="32" customWidth="1" style="28" min="5" max="5"/>
    <col width="12" customWidth="1" style="28" min="6" max="6"/>
    <col width="60" customWidth="1" style="28" min="7" max="7"/>
  </cols>
  <sheetData>
    <row r="1" ht="31.5" customHeight="1" s="29">
      <c r="A1" s="40" t="inlineStr">
        <is>
          <t>Item</t>
        </is>
      </c>
      <c r="B1" s="40" t="inlineStr">
        <is>
          <t>Source A says</t>
        </is>
      </c>
      <c r="C1" s="40" t="inlineStr">
        <is>
          <t>Source B says</t>
        </is>
      </c>
      <c r="D1" s="40" t="inlineStr">
        <is>
          <t>What to verify</t>
        </is>
      </c>
      <c r="E1" s="40" t="inlineStr">
        <is>
          <t>Where to verify</t>
        </is>
      </c>
      <c r="F1" s="40" t="inlineStr">
        <is>
          <t>Resolved?</t>
        </is>
      </c>
      <c r="G1" s="40" t="inlineStr">
        <is>
          <t>Resolution</t>
        </is>
      </c>
    </row>
    <row r="2" ht="23.85" customHeight="1" s="29">
      <c r="A2" s="41" t="inlineStr">
        <is>
          <t>Virginia minimum liability</t>
        </is>
      </c>
      <c r="B2" s="41" t="inlineStr">
        <is>
          <t>50/100/25 (CarInsurance.com, LiabilityVsFullCoverage)</t>
        </is>
      </c>
      <c r="C2" s="41" t="inlineStr">
        <is>
          <t>30/60/20 (Coverage Criteria)</t>
        </is>
      </c>
      <c r="D2" s="41" t="inlineStr">
        <is>
          <t>Current statutory minimum and effective date</t>
        </is>
      </c>
      <c r="E2" s="41" t="inlineStr">
        <is>
          <t>VA DMV / VA Bureau of Insurance</t>
        </is>
      </c>
      <c r="F2" s="41" t="inlineStr">
        <is>
          <t>No</t>
        </is>
      </c>
      <c r="G2" s="41" t="n"/>
    </row>
    <row r="3" ht="15" customHeight="1" s="29">
      <c r="A3" s="41" t="inlineStr">
        <is>
          <t>Hawaii minimum liability</t>
        </is>
      </c>
      <c r="B3" s="41" t="inlineStr">
        <is>
          <t>40/80/20 in 2026 (Beach Insurance)</t>
        </is>
      </c>
      <c r="C3" s="41" t="inlineStr">
        <is>
          <t>20/40/10 (implied prior limit)</t>
        </is>
      </c>
      <c r="D3" s="41" t="inlineStr">
        <is>
          <t>Whether the 2026 increase is enacted</t>
        </is>
      </c>
      <c r="E3" s="41" t="inlineStr">
        <is>
          <t>Hawaii Insurance Division</t>
        </is>
      </c>
      <c r="F3" s="41" t="inlineStr">
        <is>
          <t>No</t>
        </is>
      </c>
      <c r="G3" s="41" t="n"/>
    </row>
    <row r="4" ht="23.85" customHeight="1" s="29">
      <c r="A4" s="41" t="inlineStr">
        <is>
          <t>New Jersey minimum liability</t>
        </is>
      </c>
      <c r="B4" s="41" t="inlineStr">
        <is>
          <t>35/70/25 effective Jan 1, 2026 (3 sources)</t>
        </is>
      </c>
      <c r="C4" s="41" t="inlineStr">
        <is>
          <t>Older two-tier structure listed (Coverage Criteria, Feb 2026)</t>
        </is>
      </c>
      <c r="D4" s="41" t="inlineStr">
        <is>
          <t>Current Basic and Standard policy limits</t>
        </is>
      </c>
      <c r="E4" s="41" t="inlineStr">
        <is>
          <t>NJ Dept of Banking and Insurance</t>
        </is>
      </c>
      <c r="F4" s="41" t="inlineStr">
        <is>
          <t>No</t>
        </is>
      </c>
      <c r="G4" s="41" t="n"/>
    </row>
    <row r="5" ht="15" customHeight="1" s="29">
      <c r="A5" s="41" t="inlineStr">
        <is>
          <t>Number of PIP-required states</t>
        </is>
      </c>
      <c r="B5" s="41" t="inlineStr">
        <is>
          <t>13 (CarInsurance.com)</t>
        </is>
      </c>
      <c r="C5" s="41" t="inlineStr">
        <is>
          <t>14 (Coverage Criteria) or 16 + DC (ChooseFI)</t>
        </is>
      </c>
      <c r="D5" s="41" t="inlineStr">
        <is>
          <t>Which states require PIP</t>
        </is>
      </c>
      <c r="E5" s="41" t="inlineStr">
        <is>
          <t>State statutes / NAIC</t>
        </is>
      </c>
      <c r="F5" s="41" t="inlineStr">
        <is>
          <t>No</t>
        </is>
      </c>
      <c r="G5" s="41" t="n"/>
    </row>
    <row r="6" ht="23.85" customHeight="1" s="29">
      <c r="A6" s="41" t="inlineStr">
        <is>
          <t>Michigan credit use for auto</t>
        </is>
      </c>
      <c r="B6" s="41" t="inlineStr">
        <is>
          <t>Banned (most sources)</t>
        </is>
      </c>
      <c r="C6" s="41" t="inlineStr">
        <is>
          <t>Allowed with limitations (The Zebra); limited not banned (Firstcard)</t>
        </is>
      </c>
      <c r="D6" s="41" t="inlineStr">
        <is>
          <t>Current Insurance Code language</t>
        </is>
      </c>
      <c r="E6" s="41" t="inlineStr">
        <is>
          <t>Michigan DIFS</t>
        </is>
      </c>
      <c r="F6" s="41" t="inlineStr">
        <is>
          <t>No</t>
        </is>
      </c>
      <c r="G6" s="41" t="n"/>
    </row>
    <row r="7" ht="35.05" customHeight="1" s="29">
      <c r="A7" s="41" t="inlineStr">
        <is>
          <t>California allowed rating factors</t>
        </is>
      </c>
      <c r="B7" s="41" t="inlineStr">
        <is>
          <t>ZIP and marital status allowed with limits (The Zebra)</t>
        </is>
      </c>
      <c r="C7" s="41" t="inlineStr">
        <is>
          <t>Limited to driving record, mileage, experience (Firstcard)</t>
        </is>
      </c>
      <c r="D7" s="41" t="inlineStr">
        <is>
          <t>Prop 103 regulations</t>
        </is>
      </c>
      <c r="E7" s="41" t="inlineStr">
        <is>
          <t>CA Dept of Insurance</t>
        </is>
      </c>
      <c r="F7" s="41" t="inlineStr">
        <is>
          <t>Yes</t>
        </is>
      </c>
      <c r="G7" s="41" t="inlineStr">
        <is>
          <t>Resolved from primary text (10 CCR 2632.5): three mandatory factors plus an approved optional list that includes ZIP-based claims bands and marital status. Neither source was fully right.</t>
        </is>
      </c>
    </row>
    <row r="8" ht="23.85" customHeight="1" s="29">
      <c r="A8" s="41" t="inlineStr">
        <is>
          <t>Progressive / State Farm telematics surcharge</t>
        </is>
      </c>
      <c r="B8" s="41" t="inlineStr">
        <is>
          <t>Progressive can surcharge in some states; State Farm says no surcharge</t>
        </is>
      </c>
      <c r="C8" s="41" t="inlineStr">
        <is>
          <t>Insurify: some programs can raise rates</t>
        </is>
      </c>
      <c r="D8" s="41" t="inlineStr">
        <is>
          <t>State-by-state filing terms</t>
        </is>
      </c>
      <c r="E8" s="41" t="inlineStr">
        <is>
          <t>Carrier filings / state DOI</t>
        </is>
      </c>
      <c r="F8" s="41" t="inlineStr">
        <is>
          <t>No</t>
        </is>
      </c>
      <c r="G8" s="41" t="n"/>
    </row>
    <row r="9" ht="23.85" customHeight="1" s="29">
      <c r="A9" s="41" t="inlineStr">
        <is>
          <t>Share of NFIP claims outside high-risk zones</t>
        </is>
      </c>
      <c r="B9" s="41" t="inlineStr">
        <is>
          <t>About 20% (Cover Forge)</t>
        </is>
      </c>
      <c r="C9" s="41" t="inlineStr">
        <is>
          <t>Over 40% (Atesa)</t>
        </is>
      </c>
      <c r="D9" s="41" t="inlineStr">
        <is>
          <t>FEMA claims data</t>
        </is>
      </c>
      <c r="E9" s="41" t="inlineStr">
        <is>
          <t>FEMA / FloodSmart</t>
        </is>
      </c>
      <c r="F9" s="41" t="inlineStr">
        <is>
          <t>No</t>
        </is>
      </c>
      <c r="G9" s="41" t="n"/>
    </row>
    <row r="10" ht="15" customHeight="1" s="29">
      <c r="A10" s="41" t="inlineStr">
        <is>
          <t>NFIP authorization after Sept 30, 2026</t>
        </is>
      </c>
      <c r="B10" s="41" t="inlineStr">
        <is>
          <t>Expires Sept 30, 2026 (FEMA, NAR)</t>
        </is>
      </c>
      <c r="C10" s="41" t="inlineStr">
        <is>
          <t>CRS item references Dec 11, 2026</t>
        </is>
      </c>
      <c r="D10" s="41" t="inlineStr">
        <is>
          <t>Whether an extension passed</t>
        </is>
      </c>
      <c r="E10" s="41" t="inlineStr">
        <is>
          <t>FEMA, Congress.gov</t>
        </is>
      </c>
      <c r="F10" s="41" t="inlineStr">
        <is>
          <t>Yes</t>
        </is>
      </c>
      <c r="G10" s="41" t="inlineStr">
        <is>
          <t>Resolved: authorized through Dec 11, 2026 (CRS; NAHB).</t>
        </is>
      </c>
    </row>
    <row r="11" ht="23.85" customHeight="1" s="29">
      <c r="A11" s="41" t="inlineStr">
        <is>
          <t>U.S. auto average premium</t>
        </is>
      </c>
      <c r="B11" s="41" t="inlineStr">
        <is>
          <t>$1,820 (InsurTool) full coverage</t>
        </is>
      </c>
      <c r="C11" s="41" t="inlineStr">
        <is>
          <t>$2,922 (Experian) full coverage</t>
        </is>
      </c>
      <c r="D11" s="41" t="inlineStr">
        <is>
          <t>Methodology of each; use ranges, not one number</t>
        </is>
      </c>
      <c r="E11" s="41" t="inlineStr">
        <is>
          <t>Source methodologies / NAIC</t>
        </is>
      </c>
      <c r="F11" s="41" t="inlineStr">
        <is>
          <t>No</t>
        </is>
      </c>
      <c r="G11" s="41" t="n"/>
    </row>
    <row r="12" ht="15" customHeight="1" s="29">
      <c r="A12" s="41" t="inlineStr">
        <is>
          <t>Umbrella cost per additional $1M</t>
        </is>
      </c>
      <c r="B12" s="41" t="inlineStr">
        <is>
          <t>$50-$75 (Real Cost Report)</t>
        </is>
      </c>
      <c r="C12" s="41" t="inlineStr">
        <is>
          <t>$75-$150 (UseCalcPro)</t>
        </is>
      </c>
      <c r="D12" s="41" t="inlineStr">
        <is>
          <t>Carrier rate quotes</t>
        </is>
      </c>
      <c r="E12" s="41" t="inlineStr">
        <is>
          <t>Carrier quotes</t>
        </is>
      </c>
      <c r="F12" s="41" t="inlineStr">
        <is>
          <t>No</t>
        </is>
      </c>
      <c r="G12" s="41" t="n"/>
    </row>
    <row r="13" ht="15" customHeight="1" s="29">
      <c r="A13" s="41" t="inlineStr">
        <is>
          <t>Senior driver course discount mandates</t>
        </is>
      </c>
      <c r="B13" s="41" t="inlineStr">
        <is>
          <t>'Most states' (Insurance.com)</t>
        </is>
      </c>
      <c r="C13" s="41" t="inlineStr">
        <is>
          <t>'Many states' (SafeDriver.com)</t>
        </is>
      </c>
      <c r="D13" s="41" t="inlineStr">
        <is>
          <t>Which states mandate it and age thresholds</t>
        </is>
      </c>
      <c r="E13" s="41" t="inlineStr">
        <is>
          <t>State DOIs</t>
        </is>
      </c>
      <c r="F13" s="41" t="inlineStr">
        <is>
          <t>No</t>
        </is>
      </c>
      <c r="G13" s="41" t="n"/>
    </row>
    <row r="14" ht="23.85" customHeight="1" s="29">
      <c r="A14" s="41" t="inlineStr">
        <is>
          <t>Florida Citizens policy count</t>
        </is>
      </c>
      <c r="B14" s="41" t="inlineStr">
        <is>
          <t>Over 1.2 million (Louis Law Group, Apr 2026)</t>
        </is>
      </c>
      <c r="C14" s="41" t="inlineStr">
        <is>
          <t>Under 400,000 (Lewis Insurance, Jan 2026)</t>
        </is>
      </c>
      <c r="D14" s="41" t="inlineStr">
        <is>
          <t>Current Citizens policy count and date</t>
        </is>
      </c>
      <c r="E14" s="41" t="inlineStr">
        <is>
          <t>Citizens Property Insurance Corporation; OIR</t>
        </is>
      </c>
      <c r="F14" s="41" t="inlineStr">
        <is>
          <t>No</t>
        </is>
      </c>
      <c r="G14" s="41" t="n"/>
    </row>
    <row r="15" ht="35.05" customHeight="1" s="29">
      <c r="A15" s="41" t="inlineStr">
        <is>
          <t>Texas TWIA dwelling limit</t>
        </is>
      </c>
      <c r="B15" s="41" t="inlineStr">
        <is>
          <t>About $1.8 million (agency blogs)</t>
        </is>
      </c>
      <c r="C15" s="41" t="inlineStr">
        <is>
          <t>Commissioner disapproved a proposed increase to $1,809,000 (TDI Order 2025-9540, per an agency blog)</t>
        </is>
      </c>
      <c r="D15" s="41" t="inlineStr">
        <is>
          <t>Current TWIA maximum limits</t>
        </is>
      </c>
      <c r="E15" s="41" t="inlineStr">
        <is>
          <t>TWIA; TDI order</t>
        </is>
      </c>
      <c r="F15" s="41" t="inlineStr">
        <is>
          <t>No</t>
        </is>
      </c>
      <c r="G15" s="41" t="n"/>
    </row>
    <row r="16" ht="23.85" customHeight="1" s="29">
      <c r="A16" s="41" t="inlineStr">
        <is>
          <t>Florida auto cancellation / nonrenewal notice rules</t>
        </is>
      </c>
      <c r="B16" s="41" t="inlineStr">
        <is>
          <t>627.728: 45 days for cancellation (10 for nonpayment); appeal right to OIR</t>
        </is>
      </c>
      <c r="C16" s="41" t="inlineStr">
        <is>
          <t>626.9201: 45 days for nonrenewal, but it sits in the surplus lines part of the code</t>
        </is>
      </c>
      <c r="D16" s="41" t="inlineStr">
        <is>
          <t>Which section governs nonrenewal of private passenger auto in Florida</t>
        </is>
      </c>
      <c r="E16" s="41" t="inlineStr">
        <is>
          <t>Florida Statutes 627.728 and related; OIR / DFS</t>
        </is>
      </c>
      <c r="F16" s="41" t="inlineStr">
        <is>
          <t>No</t>
        </is>
      </c>
      <c r="G16" s="41" t="n"/>
    </row>
    <row r="17" ht="23.85" customHeight="1" s="29">
      <c r="A17" s="41" t="inlineStr">
        <is>
          <t>Texas PIP minimum amount</t>
        </is>
      </c>
      <c r="B17" s="41" t="inlineStr">
        <is>
          <t>TDI: PIP included unless rejected; amount not stated</t>
        </is>
      </c>
      <c r="C17" s="41" t="inlineStr">
        <is>
          <t>Law-firm blog: insurers must offer $2,500 PIP</t>
        </is>
      </c>
      <c r="D17" s="41" t="inlineStr">
        <is>
          <t>Statutory PIP amount</t>
        </is>
      </c>
      <c r="E17" s="41" t="inlineStr">
        <is>
          <t>Texas Insurance Code 1952 subchapter D</t>
        </is>
      </c>
      <c r="F17" s="41" t="inlineStr">
        <is>
          <t>No</t>
        </is>
      </c>
      <c r="G17" s="41" t="n"/>
    </row>
    <row r="18" ht="23.85" customHeight="1" s="29">
      <c r="A18" s="41" t="inlineStr">
        <is>
          <t>California homeowners credit use</t>
        </is>
      </c>
      <c r="B18" s="41" t="inlineStr">
        <is>
          <t>Experian (2025): CA insurers do not use credit for home rates</t>
        </is>
      </c>
      <c r="C18" s="41" t="inlineStr">
        <is>
          <t>Older reports: some insurers used credit in underwriting; no explicit statute found</t>
        </is>
      </c>
      <c r="D18" s="41" t="inlineStr">
        <is>
          <t>Whether credit may be used in CA homeowners underwriting or rating</t>
        </is>
      </c>
      <c r="E18" s="41" t="inlineStr">
        <is>
          <t>CDI; Insurance Code; CDI homeowners rate filing rules</t>
        </is>
      </c>
      <c r="F18" s="41" t="inlineStr">
        <is>
          <t>No</t>
        </is>
      </c>
      <c r="G18" s="41" t="n"/>
    </row>
    <row r="19" ht="23.85" customHeight="1" s="29">
      <c r="A19" s="41" t="inlineStr">
        <is>
          <t>Safer from Wildfires legal citation</t>
        </is>
      </c>
      <c r="B19" s="41" t="inlineStr">
        <is>
          <t>Insurance Code 2644.9 (several secondary sites)</t>
        </is>
      </c>
      <c r="C19" s="41" t="inlineStr">
        <is>
          <t>Title 10 California Code of Regulations section 2644.9 (CDI framing; RFF paper)</t>
        </is>
      </c>
      <c r="D19" s="41" t="inlineStr">
        <is>
          <t>Correct citation</t>
        </is>
      </c>
      <c r="E19" s="41" t="inlineStr">
        <is>
          <t>CDI regulation text</t>
        </is>
      </c>
      <c r="F19" s="41" t="inlineStr">
        <is>
          <t>Yes</t>
        </is>
      </c>
      <c r="G19" s="41" t="inlineStr">
        <is>
          <t>It is a Title 10 regulation (10 CCR 2644.9), not an Insurance Code section. Use the regulation citation.</t>
        </is>
      </c>
    </row>
    <row r="20" ht="23.85" customHeight="1" s="29">
      <c r="A20" s="41" t="inlineStr">
        <is>
          <t>California FAIR Plan policy count</t>
        </is>
      </c>
      <c r="B20" s="41" t="inlineStr">
        <is>
          <t>668,600 at end-2025 (InsuranceNewsNet)</t>
        </is>
      </c>
      <c r="C20" s="41" t="inlineStr">
        <is>
          <t>About 697,000 in June 2026 (CalMatters); 550,000+ (Coverage Cat, looks stale)</t>
        </is>
      </c>
      <c r="D20" s="41" t="inlineStr">
        <is>
          <t>Current policy count and date</t>
        </is>
      </c>
      <c r="E20" s="41" t="inlineStr">
        <is>
          <t>California FAIR Plan / CDI data</t>
        </is>
      </c>
      <c r="F20" s="41" t="inlineStr">
        <is>
          <t>No</t>
        </is>
      </c>
      <c r="G20" s="41" t="n"/>
    </row>
    <row r="21" ht="23.85" customHeight="1" s="29">
      <c r="A21" s="41" t="inlineStr">
        <is>
          <t>California cash deposit / surety bond amount</t>
        </is>
      </c>
      <c r="B21" s="41" t="inlineStr">
        <is>
          <t>$35,000 (CDI Form 101, rev. Feb 5, 2025)</t>
        </is>
      </c>
      <c r="C21" s="41" t="inlineStr">
        <is>
          <t>$75,000 (DMV page, modified Jul 10, 2025)</t>
        </is>
      </c>
      <c r="D21" s="41" t="inlineStr">
        <is>
          <t>Current statutory amount</t>
        </is>
      </c>
      <c r="E21" s="41" t="inlineStr">
        <is>
          <t>DMV Insurance Unit; Vehicle Code financial responsibility sections</t>
        </is>
      </c>
      <c r="F21" s="41" t="inlineStr">
        <is>
          <t>Yes</t>
        </is>
      </c>
      <c r="G21" s="41" t="inlineStr">
        <is>
          <t>Resolved: $75,000 under SB 1107 and the DMV page; CDI Form 101 is out of date.</t>
        </is>
      </c>
    </row>
  </sheetData>
  <autoFilter ref="A1:G21"/>
  <dataValidations count="1">
    <dataValidation sqref="F2:F200" showDropDown="0" showInputMessage="0" showErrorMessage="0" allowBlank="1" type="list" errorStyle="stop" operator="between">
      <formula1>"No,Yes"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8" customWidth="1" style="28" min="1" max="1"/>
    <col width="30" customWidth="1" style="28" min="2" max="2"/>
    <col width="70" customWidth="1" style="28" min="3" max="3"/>
    <col width="60" customWidth="1" style="28" min="4" max="4"/>
    <col width="14" customWidth="1" style="28" min="5" max="5"/>
  </cols>
  <sheetData>
    <row r="1" ht="31.5" customHeight="1" s="29">
      <c r="A1" s="40" t="inlineStr">
        <is>
          <t>Source</t>
        </is>
      </c>
      <c r="B1" s="40" t="inlineStr">
        <is>
          <t>Publisher Type</t>
        </is>
      </c>
      <c r="C1" s="40" t="inlineStr">
        <is>
          <t>URL</t>
        </is>
      </c>
      <c r="D1" s="40" t="inlineStr">
        <is>
          <t>Reliability / Commercial Note</t>
        </is>
      </c>
      <c r="E1" s="40" t="inlineStr">
        <is>
          <t>Date Accessed</t>
        </is>
      </c>
    </row>
    <row r="2" ht="15" customHeight="1" s="29">
      <c r="A2" s="41" t="inlineStr">
        <is>
          <t>GEICO - Defensive driving discounts by state</t>
        </is>
      </c>
      <c r="B2" s="41" t="inlineStr">
        <is>
          <t>Carrier-published</t>
        </is>
      </c>
      <c r="C2" s="42" t="inlineStr">
        <is>
          <t>https://www.geico.com/save/discounts/defensive-driver-discounts/</t>
        </is>
      </c>
      <c r="D2" s="41" t="inlineStr">
        <is>
          <t>Carrier's own statement; applies to GEICO only.</t>
        </is>
      </c>
      <c r="E2" s="43" t="n">
        <v>46295</v>
      </c>
    </row>
    <row r="3" ht="15" customHeight="1" s="29">
      <c r="A3" s="41" t="inlineStr">
        <is>
          <t>State Farm - Auto insurance discounts</t>
        </is>
      </c>
      <c r="B3" s="41" t="inlineStr">
        <is>
          <t>Carrier-published</t>
        </is>
      </c>
      <c r="C3" s="42" t="inlineStr">
        <is>
          <t>https://www.statefarm.com/insurance/auto/discounts</t>
        </is>
      </c>
      <c r="D3" s="41" t="inlineStr">
        <is>
          <t>States that discounts vary by state.</t>
        </is>
      </c>
      <c r="E3" s="43" t="n">
        <v>46295</v>
      </c>
    </row>
    <row r="4" ht="23.85" customHeight="1" s="29">
      <c r="A4" s="41" t="inlineStr">
        <is>
          <t>Insurify - Car insurance report (H1 2026)</t>
        </is>
      </c>
      <c r="B4" s="41" t="inlineStr">
        <is>
          <t>Comparison marketplace (earns referral fees)</t>
        </is>
      </c>
      <c r="C4" s="42" t="inlineStr">
        <is>
          <t>https://insurify.com/car-insurance/report/</t>
        </is>
      </c>
      <c r="D4" s="41" t="inlineStr">
        <is>
          <t>Comparison marketplace data.</t>
        </is>
      </c>
      <c r="E4" s="43" t="n">
        <v>46295</v>
      </c>
    </row>
    <row r="5" ht="23.85" customHeight="1" s="29">
      <c r="A5" s="41" t="inlineStr">
        <is>
          <t>Insurify - Home insurance rates H1 2026</t>
        </is>
      </c>
      <c r="B5" s="41" t="inlineStr">
        <is>
          <t>Comparison marketplace (earns referral fees)</t>
        </is>
      </c>
      <c r="C5" s="42" t="inlineStr">
        <is>
          <t>https://insurify.com/homeowners-insurance/insights/rates-increase-first-half-2026/</t>
        </is>
      </c>
      <c r="D5" s="41" t="inlineStr">
        <is>
          <t>Comparison marketplace data.</t>
        </is>
      </c>
      <c r="E5" s="43" t="n">
        <v>46295</v>
      </c>
    </row>
    <row r="6" ht="23.85" customHeight="1" s="29">
      <c r="A6" s="41" t="inlineStr">
        <is>
          <t>Insurify - Telematics car insurance programs</t>
        </is>
      </c>
      <c r="B6" s="41" t="inlineStr">
        <is>
          <t>Comparison marketplace (earns referral fees)</t>
        </is>
      </c>
      <c r="C6" s="42" t="inlineStr">
        <is>
          <t>https://insurify.com/car-insurance/coverage/telematics/</t>
        </is>
      </c>
      <c r="D6" s="41" t="inlineStr">
        <is>
          <t>Comparison marketplace.</t>
        </is>
      </c>
      <c r="E6" s="43" t="n">
        <v>46295</v>
      </c>
    </row>
    <row r="7" ht="23.85" customHeight="1" s="29">
      <c r="A7" s="41" t="inlineStr">
        <is>
          <t>The Zebra - Car insurance rating factors by state</t>
        </is>
      </c>
      <c r="B7" s="41" t="inlineStr">
        <is>
          <t>Comparison marketplace (earns referral fees)</t>
        </is>
      </c>
      <c r="C7" s="42" t="inlineStr">
        <is>
          <t>https://www.thezebra.com/resources/research/car-insurance-rating-factors-by-state/</t>
        </is>
      </c>
      <c r="D7" s="41" t="inlineStr">
        <is>
          <t>Dated Oct 2025; verify against state law.</t>
        </is>
      </c>
      <c r="E7" s="43" t="n">
        <v>46295</v>
      </c>
    </row>
    <row r="8" ht="15" customHeight="1" s="29">
      <c r="A8" s="41" t="inlineStr">
        <is>
          <t>AutoInsurance.org - Requirements by state</t>
        </is>
      </c>
      <c r="B8" s="41" t="inlineStr">
        <is>
          <t>Publisher / media</t>
        </is>
      </c>
      <c r="C8" s="42" t="inlineStr">
        <is>
          <t>https://www.autoinsurance.org/car-insurance-requirements/</t>
        </is>
      </c>
      <c r="D8" s="41" t="n"/>
      <c r="E8" s="43" t="n">
        <v>46295</v>
      </c>
    </row>
    <row r="9" ht="15" customHeight="1" s="29">
      <c r="A9" s="41" t="inlineStr">
        <is>
          <t>Bankrate - Are telematics programs worth the discount</t>
        </is>
      </c>
      <c r="B9" s="41" t="inlineStr">
        <is>
          <t>Publisher / media</t>
        </is>
      </c>
      <c r="C9" s="42" t="inlineStr">
        <is>
          <t>https://www.bankrate.com/insurance/car/are-telematics-programs-worth-the-discount/</t>
        </is>
      </c>
      <c r="D9" s="41" t="n"/>
      <c r="E9" s="43" t="n">
        <v>46295</v>
      </c>
    </row>
    <row r="10" ht="15" customHeight="1" s="29">
      <c r="A10" s="41" t="inlineStr">
        <is>
          <t>CNBC - Insurance rates based on credit history draw scrutiny</t>
        </is>
      </c>
      <c r="B10" s="41" t="inlineStr">
        <is>
          <t>Publisher / media</t>
        </is>
      </c>
      <c r="C10" s="42" t="inlineStr">
        <is>
          <t>https://www.cnbc.com/2026/04/26/insurance-rates-credit-history.html</t>
        </is>
      </c>
      <c r="D10" s="41" t="n"/>
      <c r="E10" s="43" t="n">
        <v>46295</v>
      </c>
    </row>
    <row r="11" ht="15" customHeight="1" s="29">
      <c r="A11" s="41" t="inlineStr">
        <is>
          <t>CNBC Select - State minimum requirements</t>
        </is>
      </c>
      <c r="B11" s="41" t="inlineStr">
        <is>
          <t>Publisher / media</t>
        </is>
      </c>
      <c r="C11" s="42" t="inlineStr">
        <is>
          <t>https://www.cnbc.com/select/state-minimum-car-insurance-requirements/</t>
        </is>
      </c>
      <c r="D11" s="41" t="inlineStr">
        <is>
          <t>Dated Dec 2025.</t>
        </is>
      </c>
      <c r="E11" s="43" t="n">
        <v>46295</v>
      </c>
    </row>
    <row r="12" ht="15" customHeight="1" s="29">
      <c r="A12" s="41" t="inlineStr">
        <is>
          <t>CarInsurance.com - Minimum liability by state (Apr 2026)</t>
        </is>
      </c>
      <c r="B12" s="41" t="inlineStr">
        <is>
          <t>Publisher / media</t>
        </is>
      </c>
      <c r="C12" s="42" t="inlineStr">
        <is>
          <t>https://www.carinsurance.com/Articles/minimum-liability-car-insurance-requirements-by-state.aspx</t>
        </is>
      </c>
      <c r="D12" s="41" t="n"/>
      <c r="E12" s="43" t="n">
        <v>46295</v>
      </c>
    </row>
    <row r="13" ht="15" customHeight="1" s="29">
      <c r="A13" s="41" t="inlineStr">
        <is>
          <t>Experian - Average cost of car insurance</t>
        </is>
      </c>
      <c r="B13" s="41" t="inlineStr">
        <is>
          <t>Publisher / media</t>
        </is>
      </c>
      <c r="C13" s="42" t="inlineStr">
        <is>
          <t>https://www.experian.com/blogs/ask-experian/average-cost-car-insurance/</t>
        </is>
      </c>
      <c r="D13" s="41" t="inlineStr">
        <is>
          <t>Based on policies sold through Experian's marketplace.</t>
        </is>
      </c>
      <c r="E13" s="43" t="n">
        <v>46295</v>
      </c>
    </row>
    <row r="14" ht="15" customHeight="1" s="29">
      <c r="A14" s="41" t="inlineStr">
        <is>
          <t>Experian - States that restrict credit-based insurance scores</t>
        </is>
      </c>
      <c r="B14" s="41" t="inlineStr">
        <is>
          <t>Publisher / media</t>
        </is>
      </c>
      <c r="C14" s="42" t="inlineStr">
        <is>
          <t>https://www.experian.com/blogs/ask-experian/which-states-prohibit-or-restrict-the-use-of-credit-based-insurance-scores/</t>
        </is>
      </c>
      <c r="D14" s="41" t="inlineStr">
        <is>
          <t>Dated Mar 2025.</t>
        </is>
      </c>
      <c r="E14" s="43" t="n">
        <v>46295</v>
      </c>
    </row>
    <row r="15" ht="15" customHeight="1" s="29">
      <c r="A15" s="41" t="inlineStr">
        <is>
          <t>Insurance.com - Auto insurance discounts guide</t>
        </is>
      </c>
      <c r="B15" s="41" t="inlineStr">
        <is>
          <t>Publisher / media</t>
        </is>
      </c>
      <c r="C15" s="42" t="inlineStr">
        <is>
          <t>https://www.insurance.com/auto-insurance/car-insurance-discounts.html</t>
        </is>
      </c>
      <c r="D15" s="41" t="n"/>
      <c r="E15" s="43" t="n">
        <v>46295</v>
      </c>
    </row>
    <row r="16" ht="15" customHeight="1" s="29">
      <c r="A16" s="41" t="inlineStr">
        <is>
          <t>InsuranceNewsNet - FAIR Plan rates going up 29.1% (May 2026)</t>
        </is>
      </c>
      <c r="B16" s="41" t="inlineStr">
        <is>
          <t>Publisher / media</t>
        </is>
      </c>
      <c r="C16" s="42" t="inlineStr">
        <is>
          <t>https://insurancenewsnet.com/oarticle/california-fair-plan-rates-going-up-29-1-in-late-2026</t>
        </is>
      </c>
      <c r="D16" s="41" t="inlineStr">
        <is>
          <t>News report.</t>
        </is>
      </c>
      <c r="E16" s="43" t="n">
        <v>46295</v>
      </c>
    </row>
    <row r="17" ht="15" customHeight="1" s="29">
      <c r="A17" s="41" t="inlineStr">
        <is>
          <t>KQED - FAIR Plan announces 29.1% rate hike (Aug 2026)</t>
        </is>
      </c>
      <c r="B17" s="41" t="inlineStr">
        <is>
          <t>Publisher / media</t>
        </is>
      </c>
      <c r="C17" s="42" t="inlineStr">
        <is>
          <t>https://www.kqed.org/news/12094860/california-fair-plan-announces-29-1-rate-hike-for-homeowners-this-fall</t>
        </is>
      </c>
      <c r="D17" s="41" t="inlineStr">
        <is>
          <t>News report; not the CDI decision document.</t>
        </is>
      </c>
      <c r="E17" s="43" t="n">
        <v>46295</v>
      </c>
    </row>
    <row r="18" ht="15" customHeight="1" s="29">
      <c r="A18" s="41" t="inlineStr">
        <is>
          <t>Kiplinger - How much umbrella insurance do I need</t>
        </is>
      </c>
      <c r="B18" s="41" t="inlineStr">
        <is>
          <t>Publisher / media</t>
        </is>
      </c>
      <c r="C18" s="42" t="inlineStr">
        <is>
          <t>https://www.kiplinger.com/personal-finance/insurance/umbrella-insurance/603237/how-much-umbrella-insurance-do-i-need</t>
        </is>
      </c>
      <c r="D18" s="41" t="inlineStr">
        <is>
          <t>Cites Trusted Choice.</t>
        </is>
      </c>
      <c r="E18" s="43" t="n">
        <v>46295</v>
      </c>
    </row>
    <row r="19" ht="15" customHeight="1" s="29">
      <c r="A19" s="41" t="inlineStr">
        <is>
          <t>MoneyGeek - Defensive driver discounts</t>
        </is>
      </c>
      <c r="B19" s="41" t="inlineStr">
        <is>
          <t>Publisher / media</t>
        </is>
      </c>
      <c r="C19" s="42" t="inlineStr">
        <is>
          <t>https://www.moneygeek.com/insurance/auto/defensive-driver-courses/</t>
        </is>
      </c>
      <c r="D19" s="41" t="n"/>
      <c r="E19" s="43" t="n">
        <v>46295</v>
      </c>
    </row>
    <row r="20" ht="15" customHeight="1" s="29">
      <c r="A20" s="41" t="inlineStr">
        <is>
          <t>MoneyGeek - Insurers that don't check credit</t>
        </is>
      </c>
      <c r="B20" s="41" t="inlineStr">
        <is>
          <t>Publisher / media</t>
        </is>
      </c>
      <c r="C20" s="42" t="inlineStr">
        <is>
          <t>https://www.moneygeek.com/insurance/auto/which-insurance-companies-dont-check-credit-score/</t>
        </is>
      </c>
      <c r="D20" s="41" t="inlineStr">
        <is>
          <t>Notes Washington credit ban struck down in 2021.</t>
        </is>
      </c>
      <c r="E20" s="43" t="n">
        <v>46295</v>
      </c>
    </row>
    <row r="21" ht="15" customHeight="1" s="29">
      <c r="A21" s="41" t="inlineStr">
        <is>
          <t>NerdWallet - Average homeowners insurance cost</t>
        </is>
      </c>
      <c r="B21" s="41" t="inlineStr">
        <is>
          <t>Publisher / media</t>
        </is>
      </c>
      <c r="C21" s="42" t="inlineStr">
        <is>
          <t>https://www.nerdwallet.com/insurance/homeowners/learn/average-homeowners-insurance-cost</t>
        </is>
      </c>
      <c r="D21" s="41" t="inlineStr">
        <is>
          <t>Analysis of 100+ insurers' pricing data.</t>
        </is>
      </c>
      <c r="E21" s="43" t="n">
        <v>46295</v>
      </c>
    </row>
    <row r="22" ht="15" customHeight="1" s="29">
      <c r="A22" s="41" t="inlineStr">
        <is>
          <t>NerdWallet - Umbrella insurance guide</t>
        </is>
      </c>
      <c r="B22" s="41" t="inlineStr">
        <is>
          <t>Publisher / media</t>
        </is>
      </c>
      <c r="C22" s="42" t="inlineStr">
        <is>
          <t>https://www.nerdwallet.com/insurance/homeowners/learn/umbrella-insurance</t>
        </is>
      </c>
      <c r="D22" s="41" t="n"/>
      <c r="E22" s="43" t="n">
        <v>46295</v>
      </c>
    </row>
    <row r="23" ht="15" customHeight="1" s="29">
      <c r="A23" s="41" t="inlineStr">
        <is>
          <t>Newsweek - Where your credit score can/can't raise insurance costs</t>
        </is>
      </c>
      <c r="B23" s="41" t="inlineStr">
        <is>
          <t>Publisher / media</t>
        </is>
      </c>
      <c r="C23" s="42" t="inlineStr">
        <is>
          <t>https://www.newsweek.com/where-your-credit-score-can-cant-raise-insurance-costs-11885672</t>
        </is>
      </c>
      <c r="D23" s="41" t="n"/>
      <c r="E23" s="43" t="n">
        <v>46295</v>
      </c>
    </row>
    <row r="24" ht="23.85" customHeight="1" s="29">
      <c r="A24" s="41" t="inlineStr">
        <is>
          <t>Resources for the Future - Insurance discounts for wildfire mitigation (WP 25-30)</t>
        </is>
      </c>
      <c r="B24" s="41" t="inlineStr">
        <is>
          <t>Publisher / media</t>
        </is>
      </c>
      <c r="C24" s="42" t="inlineStr">
        <is>
          <t>https://media.rff.org/documents/WP_25-30.pdf</t>
        </is>
      </c>
      <c r="D24" s="41" t="inlineStr">
        <is>
          <t>Research paper describing 10 CCR 2644.9 disclosure and appeal rights.</t>
        </is>
      </c>
      <c r="E24" s="43" t="n">
        <v>46295</v>
      </c>
    </row>
    <row r="25" ht="15" customHeight="1" s="29">
      <c r="A25" s="41" t="inlineStr">
        <is>
          <t>U.S. News - Average cost of car insurance (Aug 2026)</t>
        </is>
      </c>
      <c r="B25" s="41" t="inlineStr">
        <is>
          <t>Publisher / media</t>
        </is>
      </c>
      <c r="C25" s="42" t="inlineStr">
        <is>
          <t>https://www.usnews.com/insurance/auto/average-cost-of-car-insurance</t>
        </is>
      </c>
      <c r="D25" s="41" t="inlineStr">
        <is>
          <t>Coverage level not specified in snippet.</t>
        </is>
      </c>
      <c r="E25" s="43" t="n">
        <v>46295</v>
      </c>
    </row>
    <row r="26" ht="23.85" customHeight="1" s="29">
      <c r="A26" s="41" t="inlineStr">
        <is>
          <t>United Policyholders - Should states ban credit-based insurance scoring? (2013)</t>
        </is>
      </c>
      <c r="B26" s="41" t="inlineStr">
        <is>
          <t>Publisher / media</t>
        </is>
      </c>
      <c r="C26" s="42" t="inlineStr">
        <is>
          <t>https://uphelp.org/should-states-ban-credit-based-insurance-scoring/</t>
        </is>
      </c>
      <c r="D26" s="41" t="inlineStr">
        <is>
          <t>Quotes a CDI-side view that homeowners rate filings depending on credit are not approved. Old.</t>
        </is>
      </c>
      <c r="E26" s="43" t="n">
        <v>46295</v>
      </c>
    </row>
    <row r="27" ht="15" customHeight="1" s="29">
      <c r="A27" s="41" t="inlineStr">
        <is>
          <t>ValuePenguin - State of Auto Insurance 2026</t>
        </is>
      </c>
      <c r="B27" s="41" t="inlineStr">
        <is>
          <t>Publisher / media</t>
        </is>
      </c>
      <c r="C27" s="42" t="inlineStr">
        <is>
          <t>https://www.valuepenguin.com/state-of-auto-insurance-2026</t>
        </is>
      </c>
      <c r="D27" s="41" t="n"/>
      <c r="E27" s="43" t="n">
        <v>46295</v>
      </c>
    </row>
    <row r="28" ht="15" customHeight="1" s="29">
      <c r="A28" s="41" t="inlineStr">
        <is>
          <t>10 CCR section 2632.12 - Good Driver Discount (text via Cornell LII)</t>
        </is>
      </c>
      <c r="B28" s="41" t="inlineStr">
        <is>
          <t>Regulator / government</t>
        </is>
      </c>
      <c r="C28" s="42" t="inlineStr">
        <is>
          <t>https://www.law.cornell.edu/regulations/california/10-CCR-2632.12</t>
        </is>
      </c>
      <c r="D28" s="41" t="inlineStr">
        <is>
          <t>Regulation text; confirm against official source.</t>
        </is>
      </c>
      <c r="E28" s="43" t="n">
        <v>46295</v>
      </c>
    </row>
    <row r="29" ht="15" customHeight="1" s="29">
      <c r="A29" s="41" t="inlineStr">
        <is>
          <t>10 CCR section 2632.5 - Rating Factors (text via Cornell LII)</t>
        </is>
      </c>
      <c r="B29" s="41" t="inlineStr">
        <is>
          <t>Regulator / government</t>
        </is>
      </c>
      <c r="C29" s="42" t="inlineStr">
        <is>
          <t>https://www.law.cornell.edu/regulations/california/10-CCR-2632.5</t>
        </is>
      </c>
      <c r="D29" s="41" t="inlineStr">
        <is>
          <t>Regulation text; confirm against the official California Code of Regulations.</t>
        </is>
      </c>
      <c r="E29" s="43" t="n">
        <v>46295</v>
      </c>
    </row>
    <row r="30" ht="15" customHeight="1" s="29">
      <c r="A30" s="41" t="inlineStr">
        <is>
          <t>CA DMV - Auto Insurance Requirements (modified Jul 10, 2025)</t>
        </is>
      </c>
      <c r="B30" s="41" t="inlineStr">
        <is>
          <t>Regulator / government</t>
        </is>
      </c>
      <c r="C30" s="42" t="inlineStr">
        <is>
          <t>https://www.dmv.ca.gov/portal/vehicle-registration/insurance-requirements/</t>
        </is>
      </c>
      <c r="D30" s="41" t="inlineStr">
        <is>
          <t>Primary source; cites Insurance Code section 11580.1(b).</t>
        </is>
      </c>
      <c r="E30" s="43" t="n">
        <v>46295</v>
      </c>
    </row>
    <row r="31" ht="15" customHeight="1" s="29">
      <c r="A31" s="41" t="inlineStr">
        <is>
          <t>CA Dept of Insurance - Earthquake Insurance</t>
        </is>
      </c>
      <c r="B31" s="41" t="inlineStr">
        <is>
          <t>Regulator / government</t>
        </is>
      </c>
      <c r="C31" s="42" t="inlineStr">
        <is>
          <t>https://www.insurance.ca.gov/01-consumers/105-type/95-guides/03-res/eq-ins.cfm</t>
        </is>
      </c>
      <c r="D31" s="41" t="inlineStr">
        <is>
          <t>Regulator page; primary source.</t>
        </is>
      </c>
      <c r="E31" s="43" t="n">
        <v>46295</v>
      </c>
    </row>
    <row r="32" ht="15" customHeight="1" s="29">
      <c r="A32" s="41" t="inlineStr">
        <is>
          <t>CA Dept of Insurance - Flood Insurance Resources</t>
        </is>
      </c>
      <c r="B32" s="41" t="inlineStr">
        <is>
          <t>Regulator / government</t>
        </is>
      </c>
      <c r="C32" s="42" t="inlineStr">
        <is>
          <t>https://www.insurance.ca.gov/01-consumers/140-catastrophes/FloodFacts.cfm</t>
        </is>
      </c>
      <c r="D32" s="41" t="inlineStr">
        <is>
          <t>Regulator page; says CDI does not regulate the NFIP.</t>
        </is>
      </c>
      <c r="E32" s="43" t="n">
        <v>46295</v>
      </c>
    </row>
    <row r="33" ht="15" customHeight="1" s="29">
      <c r="A33" s="41" t="inlineStr">
        <is>
          <t>CA Dept of Insurance - Homeowners Insurance flyer (Dec 2024)</t>
        </is>
      </c>
      <c r="B33" s="41" t="inlineStr">
        <is>
          <t>Regulator / government</t>
        </is>
      </c>
      <c r="C33" s="42" t="inlineStr">
        <is>
          <t>https://www.insurance.ca.gov/01-consumers/105-type/95-guides/upload/Homeowners-Insurance-Updated-121924.pdf</t>
        </is>
      </c>
      <c r="D33" s="41" t="inlineStr">
        <is>
          <t>Regulator flyer; primary source.</t>
        </is>
      </c>
      <c r="E33" s="43" t="n">
        <v>46295</v>
      </c>
    </row>
    <row r="34" ht="23.85" customHeight="1" s="29">
      <c r="A34" s="41" t="inlineStr">
        <is>
          <t>CA Dept of Insurance - Introduction to Auto Insurance (Form 101, rev. Feb 5, 2025)</t>
        </is>
      </c>
      <c r="B34" s="41" t="inlineStr">
        <is>
          <t>Regulator / government</t>
        </is>
      </c>
      <c r="C34" s="42" t="inlineStr">
        <is>
          <t>https://www.insurance.ca.gov/01-consumers/105-type/95-guides/01-auto/auto101.cfm</t>
        </is>
      </c>
      <c r="D34" s="41" t="inlineStr">
        <is>
          <t>Regulator consumer guide; primary source. Its $35,000 deposit/bond figure conflicts with DMV's $75,000.</t>
        </is>
      </c>
      <c r="E34" s="43" t="n">
        <v>46295</v>
      </c>
    </row>
    <row r="35" ht="15" customHeight="1" s="29">
      <c r="A35" s="41" t="inlineStr">
        <is>
          <t>CA Dept of Insurance - Low Cost Auto consumer alert (Jul 23, 2024)</t>
        </is>
      </c>
      <c r="B35" s="41" t="inlineStr">
        <is>
          <t>Regulator / government</t>
        </is>
      </c>
      <c r="C35" s="42" t="inlineStr">
        <is>
          <t>https://www.insurance.ca.gov/0400-news/0102-alerts/2024/California-s-Low-Cost-Auto-Insurance.cfm</t>
        </is>
      </c>
      <c r="D35" s="41" t="inlineStr">
        <is>
          <t>Confirms SB 1107 limit increase beginning 2025; CLCA limits unchanged.</t>
        </is>
      </c>
      <c r="E35" s="43" t="n">
        <v>46295</v>
      </c>
    </row>
    <row r="36" ht="23.85" customHeight="1" s="29">
      <c r="A36" s="41" t="inlineStr">
        <is>
          <t>CA Dept of Insurance - Residential Insurance: Homeowners and Renters (Form 401, rev. Jan 2026)</t>
        </is>
      </c>
      <c r="B36" s="41" t="inlineStr">
        <is>
          <t>Regulator / government</t>
        </is>
      </c>
      <c r="C36" s="42" t="inlineStr">
        <is>
          <t>https://www.insurance.ca.gov/01-consumers/105-type/95-guides/03-res/res-ins-guide.cfm</t>
        </is>
      </c>
      <c r="D36" s="41" t="inlineStr">
        <is>
          <t>Regulator consumer guide; primary source.</t>
        </is>
      </c>
      <c r="E36" s="43" t="n">
        <v>46295</v>
      </c>
    </row>
    <row r="37" ht="15" customHeight="1" s="29">
      <c r="A37" s="41" t="inlineStr">
        <is>
          <t>CA Dept of Insurance - Safer from Wildfires</t>
        </is>
      </c>
      <c r="B37" s="41" t="inlineStr">
        <is>
          <t>Regulator / government</t>
        </is>
      </c>
      <c r="C37" s="42" t="inlineStr">
        <is>
          <t>https://www.insurance.ca.gov/01-consumers/200-wrr/Safer-from-Wildfires.cfm</t>
        </is>
      </c>
      <c r="D37" s="41" t="inlineStr">
        <is>
          <t>Regulator page; links to the full regulation text.</t>
        </is>
      </c>
      <c r="E37" s="43" t="n">
        <v>46295</v>
      </c>
    </row>
    <row r="38" ht="15" customHeight="1" s="29">
      <c r="A38" s="41" t="inlineStr">
        <is>
          <t>CA Dept of Insurance - Sustainable Insurance Strategy updates</t>
        </is>
      </c>
      <c r="B38" s="41" t="inlineStr">
        <is>
          <t>Regulator / government</t>
        </is>
      </c>
      <c r="C38" s="42" t="inlineStr">
        <is>
          <t>https://www.insurance.ca.gov/01-consumers/180-climate-change/SustainableInsuranceStrategy.cfm</t>
        </is>
      </c>
      <c r="D38" s="41" t="inlineStr">
        <is>
          <t>Regulator page on the 85 percent commitment.</t>
        </is>
      </c>
      <c r="E38" s="43" t="n">
        <v>46295</v>
      </c>
    </row>
    <row r="39" ht="15" customHeight="1" s="29">
      <c r="A39" s="41" t="inlineStr">
        <is>
          <t>CA Insurance Code section 10083 - Earthquake offer timing (Justia)</t>
        </is>
      </c>
      <c r="B39" s="41" t="inlineStr">
        <is>
          <t>Regulator / government</t>
        </is>
      </c>
      <c r="C39" s="42" t="inlineStr">
        <is>
          <t>https://law.justia.com/codes/california/code-ins/division-2/part-1/chapter-8-5/section-10083/</t>
        </is>
      </c>
      <c r="D39" s="41" t="inlineStr">
        <is>
          <t>Statute text via Justia.</t>
        </is>
      </c>
      <c r="E39" s="43" t="n">
        <v>46295</v>
      </c>
    </row>
    <row r="40" ht="23.85" customHeight="1" s="29">
      <c r="A40" s="41" t="inlineStr">
        <is>
          <t>CA Insurance Code section 11628.3 - Mature driver (text via FindLaw)</t>
        </is>
      </c>
      <c r="B40" s="41" t="inlineStr">
        <is>
          <t>Regulator / government</t>
        </is>
      </c>
      <c r="C40" s="42" t="inlineStr">
        <is>
          <t>https://codes.findlaw.com/ca/insurance-code/ins-sect-11628-3/</t>
        </is>
      </c>
      <c r="D40" s="41" t="inlineStr">
        <is>
          <t>FindLaw warns text may not reflect the latest law; verify on leginfo.legislature.ca.gov.</t>
        </is>
      </c>
      <c r="E40" s="43" t="n">
        <v>46295</v>
      </c>
    </row>
    <row r="41" ht="23.85" customHeight="1" s="29">
      <c r="A41" s="41" t="inlineStr">
        <is>
          <t>CA Insurance Code section 1861.025 - Good Driver Discount eligibility (Justia)</t>
        </is>
      </c>
      <c r="B41" s="41" t="inlineStr">
        <is>
          <t>Regulator / government</t>
        </is>
      </c>
      <c r="C41" s="42" t="inlineStr">
        <is>
          <t>https://law.justia.com/codes/california/code-ins/division-1/part-2/chapter-9/article-10/section-1861-025/</t>
        </is>
      </c>
      <c r="D41" s="41" t="inlineStr">
        <is>
          <t>Statute text via Justia; snippet showed subdivisions (a) and (b) only.</t>
        </is>
      </c>
      <c r="E41" s="43" t="n">
        <v>46295</v>
      </c>
    </row>
    <row r="42" ht="15" customHeight="1" s="29">
      <c r="A42" s="41" t="inlineStr">
        <is>
          <t>CDI Rate Regulation Advisory Notice 2005-02 (May 2, 2005)</t>
        </is>
      </c>
      <c r="B42" s="41" t="inlineStr">
        <is>
          <t>Regulator / government</t>
        </is>
      </c>
      <c r="C42" s="42" t="inlineStr">
        <is>
          <t>https://www.insurance.ca.gov/0250-insurers/0300-insurers/0200-bulletins/bulletin-notices-commiss-opinion/upload/Advisory-Notice-2005-02.pdf</t>
        </is>
      </c>
      <c r="D42" s="41" t="inlineStr">
        <is>
          <t>Old notice; confirm it has not been superseded.</t>
        </is>
      </c>
      <c r="E42" s="43" t="n">
        <v>46295</v>
      </c>
    </row>
    <row r="43" ht="23.85" customHeight="1" s="29">
      <c r="A43" s="41" t="inlineStr">
        <is>
          <t>CDI press release - New laws take effect January 1, 2026 (Dec 30, 2025)</t>
        </is>
      </c>
      <c r="B43" s="41" t="inlineStr">
        <is>
          <t>Regulator / government</t>
        </is>
      </c>
      <c r="C43" s="42" t="inlineStr">
        <is>
          <t>https://www.insurance.ca.gov/0400-news/0100-press-releases/2025/release079-2025.cfm</t>
        </is>
      </c>
      <c r="D43" s="41" t="inlineStr">
        <is>
          <t>Regulator press release; describes AB 1, AB 226, AB 888, SB 429, SB 495, SB 547.</t>
        </is>
      </c>
      <c r="E43" s="43" t="n">
        <v>46295</v>
      </c>
    </row>
    <row r="44" ht="15" customHeight="1" s="29">
      <c r="A44" s="41" t="inlineStr">
        <is>
          <t>CDI press release 089-19 - FAIR Plan coverage options</t>
        </is>
      </c>
      <c r="B44" s="41" t="inlineStr">
        <is>
          <t>Regulator / government</t>
        </is>
      </c>
      <c r="C44" s="42" t="inlineStr">
        <is>
          <t>https://www.insurance.ca.gov/0400-news/0100-press-releases/2019/release089-19.cfm</t>
        </is>
      </c>
      <c r="D44" s="41" t="inlineStr">
        <is>
          <t>Announced $3 million dwelling limit effective Apr 1, 2020.</t>
        </is>
      </c>
      <c r="E44" s="43" t="n">
        <v>46295</v>
      </c>
    </row>
    <row r="45" ht="23.85" customHeight="1" s="29">
      <c r="A45" s="41" t="inlineStr">
        <is>
          <t>CRS - Overview of Continuing Appropriations for FY2027 (P.L. 119-103, Div. A)</t>
        </is>
      </c>
      <c r="B45" s="41" t="inlineStr">
        <is>
          <t>Regulator / government</t>
        </is>
      </c>
      <c r="C45" s="42" t="inlineStr">
        <is>
          <t>https://www.congress.gov/crs-product/R49353</t>
        </is>
      </c>
      <c r="D45" s="41" t="inlineStr">
        <is>
          <t>Section 139 extends the NFIP; CR runs through Dec 11, 2026.</t>
        </is>
      </c>
      <c r="E45" s="43" t="n">
        <v>46295</v>
      </c>
    </row>
    <row r="46" ht="15" customHeight="1" s="29">
      <c r="A46" s="41" t="inlineStr">
        <is>
          <t>CRS Insight - What Happens If the NFIP Lapses?</t>
        </is>
      </c>
      <c r="B46" s="41" t="inlineStr">
        <is>
          <t>Regulator / government</t>
        </is>
      </c>
      <c r="C46" s="42" t="inlineStr">
        <is>
          <t>https://www.congress.gov/crs-product/IN10835</t>
        </is>
      </c>
      <c r="D46" s="41" t="inlineStr">
        <is>
          <t>States NFIP currently authorized until Dec 11, 2026.</t>
        </is>
      </c>
      <c r="E46" s="43" t="n">
        <v>46295</v>
      </c>
    </row>
    <row r="47" ht="15" customHeight="1" s="29">
      <c r="A47" s="41" t="inlineStr">
        <is>
          <t>California Earthquake Authority - Homeowners policies</t>
        </is>
      </c>
      <c r="B47" s="41" t="inlineStr">
        <is>
          <t>Regulator / government</t>
        </is>
      </c>
      <c r="C47" s="42" t="inlineStr">
        <is>
          <t>https://www.earthquakeauthority.com/california-earthquake-insurance-policies/homeowners</t>
        </is>
      </c>
      <c r="D47" s="41" t="inlineStr">
        <is>
          <t>Publicly managed entity; primary source for CEA terms.</t>
        </is>
      </c>
      <c r="E47" s="43" t="n">
        <v>46295</v>
      </c>
    </row>
    <row r="48" ht="15" customHeight="1" s="29">
      <c r="A48" s="41" t="inlineStr">
        <is>
          <t>Florida DFS - Florida's Hurricane Deductible</t>
        </is>
      </c>
      <c r="B48" s="41" t="inlineStr">
        <is>
          <t>Regulator / government</t>
        </is>
      </c>
      <c r="C48" s="42" t="inlineStr">
        <is>
          <t>https://www.myfloridacfo.com/division/consumers/consumerprotections/floridashurricanedeductible</t>
        </is>
      </c>
      <c r="D48" s="41" t="inlineStr">
        <is>
          <t>Regulator consumer page.</t>
        </is>
      </c>
      <c r="E48" s="43" t="n">
        <v>46295</v>
      </c>
    </row>
    <row r="49" ht="15" customHeight="1" s="29">
      <c r="A49" s="41" t="inlineStr">
        <is>
          <t>Florida DHSMV - Florida Insurance Requirements</t>
        </is>
      </c>
      <c r="B49" s="41" t="inlineStr">
        <is>
          <t>Regulator / government</t>
        </is>
      </c>
      <c r="C49" s="42" t="inlineStr">
        <is>
          <t>https://www.flhsmv.gov/insurance/</t>
        </is>
      </c>
      <c r="D49" s="41" t="inlineStr">
        <is>
          <t>Agency page; primary source.</t>
        </is>
      </c>
      <c r="E49" s="43" t="n">
        <v>46295</v>
      </c>
    </row>
    <row r="50" ht="15" customHeight="1" s="29">
      <c r="A50" s="41" t="inlineStr">
        <is>
          <t>Florida Statutes 626.9741 - Credit reports and scores by insurers</t>
        </is>
      </c>
      <c r="B50" s="41" t="inlineStr">
        <is>
          <t>Regulator / government</t>
        </is>
      </c>
      <c r="C50" s="42" t="inlineStr">
        <is>
          <t>https://www.flsenate.gov/Laws/Statutes/2025/0626.9741</t>
        </is>
      </c>
      <c r="D50" s="41" t="inlineStr">
        <is>
          <t>Snippets only; fetch was rate-limited. Confirm full text.</t>
        </is>
      </c>
      <c r="E50" s="43" t="n">
        <v>46295</v>
      </c>
    </row>
    <row r="51" ht="23.85" customHeight="1" s="29">
      <c r="A51" s="41" t="inlineStr">
        <is>
          <t>Florida Statutes 627.06501 - Driver improvement course discount (2003 text)</t>
        </is>
      </c>
      <c r="B51" s="41" t="inlineStr">
        <is>
          <t>Regulator / government</t>
        </is>
      </c>
      <c r="C51" s="42" t="inlineStr">
        <is>
          <t>https://flsenate.gov/Laws/Statutes/2003/627.06501</t>
        </is>
      </c>
      <c r="D51" s="41" t="inlineStr">
        <is>
          <t>Old year; confirm current text.</t>
        </is>
      </c>
      <c r="E51" s="43" t="n">
        <v>46295</v>
      </c>
    </row>
    <row r="52" ht="15" customHeight="1" s="29">
      <c r="A52" s="41" t="inlineStr">
        <is>
          <t>Florida Statutes 627.0652 - Safety course discount (2012 text)</t>
        </is>
      </c>
      <c r="B52" s="41" t="inlineStr">
        <is>
          <t>Regulator / government</t>
        </is>
      </c>
      <c r="C52" s="42" t="inlineStr">
        <is>
          <t>https://www.flsenate.gov/laws/statutes/2012/627.0652</t>
        </is>
      </c>
      <c r="D52" s="41" t="inlineStr">
        <is>
          <t>Old year; confirm current text.</t>
        </is>
      </c>
      <c r="E52" s="43" t="n">
        <v>46295</v>
      </c>
    </row>
    <row r="53" ht="15" customHeight="1" s="29">
      <c r="A53" s="41" t="inlineStr">
        <is>
          <t>Florida Statutes 627.701 - deductibles (via FindLaw)</t>
        </is>
      </c>
      <c r="B53" s="41" t="inlineStr">
        <is>
          <t>Regulator / government</t>
        </is>
      </c>
      <c r="C53" s="42" t="inlineStr">
        <is>
          <t>https://codes.findlaw.com/fl/title-xxxvii-insurance/fl-st-sect-627-701/</t>
        </is>
      </c>
      <c r="D53" s="41" t="inlineStr">
        <is>
          <t>Statute text via FindLaw; snippets only.</t>
        </is>
      </c>
      <c r="E53" s="43" t="n">
        <v>46295</v>
      </c>
    </row>
    <row r="54" ht="23.85" customHeight="1" s="29">
      <c r="A54" s="41" t="inlineStr">
        <is>
          <t>Florida Statutes 627.728 - Cancellations; nonrenewals (2025, via Justia)</t>
        </is>
      </c>
      <c r="B54" s="41" t="inlineStr">
        <is>
          <t>Regulator / government</t>
        </is>
      </c>
      <c r="C54" s="42" t="inlineStr">
        <is>
          <t>https://law.justia.com/codes/florida/title-xxxvii/chapter-627/part-xi/section-627-728/</t>
        </is>
      </c>
      <c r="D54" s="41" t="inlineStr">
        <is>
          <t>Statute text via Justia.</t>
        </is>
      </c>
      <c r="E54" s="43" t="n">
        <v>46295</v>
      </c>
    </row>
    <row r="55" ht="15" customHeight="1" s="29">
      <c r="A55" s="41" t="inlineStr">
        <is>
          <t>Florida Statutes Chapter 324 - Financial Responsibility (2022 text)</t>
        </is>
      </c>
      <c r="B55" s="41" t="inlineStr">
        <is>
          <t>Regulator / government</t>
        </is>
      </c>
      <c r="C55" s="42" t="inlineStr">
        <is>
          <t>https://www.flsenate.gov/Laws/Statutes/2022/Chapter324/All</t>
        </is>
      </c>
      <c r="D55" s="41" t="inlineStr">
        <is>
          <t>Older year of the statute; confirm current text.</t>
        </is>
      </c>
      <c r="E55" s="43" t="n">
        <v>46295</v>
      </c>
    </row>
    <row r="56" ht="15" customHeight="1" s="29">
      <c r="A56" s="41" t="inlineStr">
        <is>
          <t>Florida Statutes Chapter 627 (2025) - table of contents</t>
        </is>
      </c>
      <c r="B56" s="41" t="inlineStr">
        <is>
          <t>Regulator / government</t>
        </is>
      </c>
      <c r="C56" s="42" t="inlineStr">
        <is>
          <t>https://www.flsenate.gov/Laws/Statutes/2025/Chapter627/All</t>
        </is>
      </c>
      <c r="D56" s="41" t="inlineStr">
        <is>
          <t>Confirms sections 627.0651-627.0653 and 627.06501 exist.</t>
        </is>
      </c>
      <c r="E56" s="43" t="n">
        <v>46295</v>
      </c>
    </row>
    <row r="57" ht="15" customHeight="1" s="29">
      <c r="A57" s="41" t="inlineStr">
        <is>
          <t>NAIC Consumer Shopping Tool for Auto Insurance</t>
        </is>
      </c>
      <c r="B57" s="41" t="inlineStr">
        <is>
          <t>Regulator / government</t>
        </is>
      </c>
      <c r="C57" s="42" t="inlineStr">
        <is>
          <t>https://content.naic.org/sites/default/files/consumer-auto-shopping-tool.pdf</t>
        </is>
      </c>
      <c r="D57" s="41" t="inlineStr">
        <is>
          <t>States there is no such thing as 'full coverage'.</t>
        </is>
      </c>
      <c r="E57" s="43" t="n">
        <v>46295</v>
      </c>
    </row>
    <row r="58" ht="15" customHeight="1" s="29">
      <c r="A58" s="41" t="inlineStr">
        <is>
          <t>NY DFS FAQ - How much auto insurance must I carry?</t>
        </is>
      </c>
      <c r="B58" s="41" t="inlineStr">
        <is>
          <t>Regulator / government</t>
        </is>
      </c>
      <c r="C58" s="42" t="inlineStr">
        <is>
          <t>https://www.dfs.ny.gov/faqs/consumer-auto/how-much-auto-insurance-must-i-carry</t>
        </is>
      </c>
      <c r="D58" s="41" t="inlineStr">
        <is>
          <t>Regulator FAQ.</t>
        </is>
      </c>
      <c r="E58" s="43" t="n">
        <v>46295</v>
      </c>
    </row>
    <row r="59" ht="15" customHeight="1" s="29">
      <c r="A59" s="41" t="inlineStr">
        <is>
          <t>NY Dept of Financial Services - Auto Insurance Discounts</t>
        </is>
      </c>
      <c r="B59" s="41" t="inlineStr">
        <is>
          <t>Regulator / government</t>
        </is>
      </c>
      <c r="C59" s="42" t="inlineStr">
        <is>
          <t>https://www.dfs.ny.gov/consumers/auto_insurance/discounts_list</t>
        </is>
      </c>
      <c r="D59" s="41" t="inlineStr">
        <is>
          <t>Lists statutory discounts all NY insurers must offer.</t>
        </is>
      </c>
      <c r="E59" s="43" t="n">
        <v>46295</v>
      </c>
    </row>
    <row r="60" ht="23.85" customHeight="1" s="29">
      <c r="A60" s="41" t="inlineStr">
        <is>
          <t>NY Dept of Financial Services - Auto Insurance Information for Consumers</t>
        </is>
      </c>
      <c r="B60" s="41" t="inlineStr">
        <is>
          <t>Regulator / government</t>
        </is>
      </c>
      <c r="C60" s="42" t="inlineStr">
        <is>
          <t>https://www.dfs.ny.gov/consumers/auto_insurance/Auto_resource_center</t>
        </is>
      </c>
      <c r="D60" s="41" t="inlineStr">
        <is>
          <t>Regulator consumer guide; primary source.</t>
        </is>
      </c>
      <c r="E60" s="43" t="n">
        <v>46295</v>
      </c>
    </row>
    <row r="61" ht="15" customHeight="1" s="29">
      <c r="A61" s="41" t="inlineStr">
        <is>
          <t>SB 1107 (2021-22) enrolled bill text - Vehicles: insurance (leginfo)</t>
        </is>
      </c>
      <c r="B61" s="41" t="inlineStr">
        <is>
          <t>Regulator / government</t>
        </is>
      </c>
      <c r="C61" s="42" t="inlineStr">
        <is>
          <t>https://leginfo.legislature.ca.gov/faces/billNavClient.xhtml?bill_id=202120220SB1107</t>
        </is>
      </c>
      <c r="D61" s="41" t="inlineStr">
        <is>
          <t>Bill text; confirm the chaptered version and current Vehicle Code 16056.</t>
        </is>
      </c>
      <c r="E61" s="43" t="n">
        <v>46295</v>
      </c>
    </row>
    <row r="62" ht="15" customHeight="1" s="29">
      <c r="A62" s="41" t="inlineStr">
        <is>
          <t>TWIA - Flood insurance requirements</t>
        </is>
      </c>
      <c r="B62" s="41" t="inlineStr">
        <is>
          <t>Regulator / government</t>
        </is>
      </c>
      <c r="C62" s="42" t="inlineStr">
        <is>
          <t>https://www.twia.org/flood-requirement/</t>
        </is>
      </c>
      <c r="D62" s="41" t="inlineStr">
        <is>
          <t>State windstorm association; own rules.</t>
        </is>
      </c>
      <c r="E62" s="43" t="n">
        <v>46295</v>
      </c>
    </row>
    <row r="63" ht="15" customHeight="1" s="29">
      <c r="A63" s="41" t="inlineStr">
        <is>
          <t>Texas Dept of Insurance - Auto insurance guide (CB020)</t>
        </is>
      </c>
      <c r="B63" s="41" t="inlineStr">
        <is>
          <t>Regulator / government</t>
        </is>
      </c>
      <c r="C63" s="42" t="inlineStr">
        <is>
          <t>https://www.tdi.texas.gov/pubs/consumer/cb020.html</t>
        </is>
      </c>
      <c r="D63" s="41" t="inlineStr">
        <is>
          <t>Regulator consumer guide; primary source.</t>
        </is>
      </c>
      <c r="E63" s="43" t="n">
        <v>46295</v>
      </c>
    </row>
    <row r="64" ht="15" customHeight="1" s="29">
      <c r="A64" s="41" t="inlineStr">
        <is>
          <t>Texas Dept of Insurance - Home and property blog</t>
        </is>
      </c>
      <c r="B64" s="41" t="inlineStr">
        <is>
          <t>Regulator / government</t>
        </is>
      </c>
      <c r="C64" s="42" t="inlineStr">
        <is>
          <t>https://tdi.texas.gov/blog/category/home-property.html</t>
        </is>
      </c>
      <c r="D64" s="41" t="inlineStr">
        <is>
          <t>Regulator blog; undated posts.</t>
        </is>
      </c>
      <c r="E64" s="43" t="n">
        <v>46295</v>
      </c>
    </row>
    <row r="65" ht="23.85" customHeight="1" s="29">
      <c r="A65" s="41" t="inlineStr">
        <is>
          <t>Texas Dept of Insurance - Home insurance guide (CB025)</t>
        </is>
      </c>
      <c r="B65" s="41" t="inlineStr">
        <is>
          <t>Regulator / government</t>
        </is>
      </c>
      <c r="C65" s="42" t="inlineStr">
        <is>
          <t>https://www.tdi.texas.gov/pubs/consumer/cb025.html</t>
        </is>
      </c>
      <c r="D65" s="41" t="inlineStr">
        <is>
          <t>Regulator guide; page blocked automated fetch, so text comes from search excerpts.</t>
        </is>
      </c>
      <c r="E65" s="43" t="n">
        <v>46295</v>
      </c>
    </row>
    <row r="66" ht="23.85" customHeight="1" s="29">
      <c r="A66" s="41" t="inlineStr">
        <is>
          <t>Texas Dept of Insurance - Texas homeowners insurance market overview</t>
        </is>
      </c>
      <c r="B66" s="41" t="inlineStr">
        <is>
          <t>Regulator / government</t>
        </is>
      </c>
      <c r="C66" s="42" t="inlineStr">
        <is>
          <t>https://www.tdi.texas.gov/general/texas-homeowners-insurance-market-overview.html</t>
        </is>
      </c>
      <c r="D66" s="41" t="inlineStr">
        <is>
          <t>Regulator page; lists TWIA territory.</t>
        </is>
      </c>
      <c r="E66" s="43" t="n">
        <v>46295</v>
      </c>
    </row>
    <row r="67" ht="15" customHeight="1" s="29">
      <c r="A67" s="41" t="inlineStr">
        <is>
          <t>Aegivra - Texas homeowners insurance guide (Jul 2026)</t>
        </is>
      </c>
      <c r="B67" s="41" t="inlineStr">
        <is>
          <t>Vendor / agency blog</t>
        </is>
      </c>
      <c r="C67" s="42" t="inlineStr">
        <is>
          <t>https://aegivra.com/guides/texas-homeowners-insurance-guide</t>
        </is>
      </c>
      <c r="D67" s="41" t="inlineStr">
        <is>
          <t>Cites TDI June 2026 overview; secondary.</t>
        </is>
      </c>
      <c r="E67" s="43" t="n">
        <v>46295</v>
      </c>
    </row>
    <row r="68" ht="15" customHeight="1" s="29">
      <c r="A68" s="41" t="inlineStr">
        <is>
          <t>Ashmore Law Firm - Car insurance: do you have enough?</t>
        </is>
      </c>
      <c r="B68" s="41" t="inlineStr">
        <is>
          <t>Vendor / agency blog</t>
        </is>
      </c>
      <c r="C68" s="42" t="inlineStr">
        <is>
          <t>https://www.ashmorelaw.com/blog/car-insurance-do-you-have-enough-.cfm</t>
        </is>
      </c>
      <c r="D68" s="41" t="inlineStr">
        <is>
          <t>Law firm blog; says Texas insurers must offer $2,500 PIP.</t>
        </is>
      </c>
      <c r="E68" s="43" t="n">
        <v>46295</v>
      </c>
    </row>
    <row r="69" ht="15" customHeight="1" s="29">
      <c r="A69" s="41" t="inlineStr">
        <is>
          <t>Atesa Risk Advisors - Private flood vs NFIP (Florida)</t>
        </is>
      </c>
      <c r="B69" s="41" t="inlineStr">
        <is>
          <t>Vendor / agency blog</t>
        </is>
      </c>
      <c r="C69" s="42" t="inlineStr">
        <is>
          <t>https://atesariskadvisors.com/blog/florida-private-flood-insurance-vs-nfip-2026</t>
        </is>
      </c>
      <c r="D69" s="41" t="inlineStr">
        <is>
          <t>Agency blog.</t>
        </is>
      </c>
      <c r="E69" s="43" t="n">
        <v>46295</v>
      </c>
    </row>
    <row r="70" ht="15" customHeight="1" s="29">
      <c r="A70" s="41" t="inlineStr">
        <is>
          <t>Beach Insurance LLC - State minimums 2026</t>
        </is>
      </c>
      <c r="B70" s="41" t="inlineStr">
        <is>
          <t>Vendor / agency blog</t>
        </is>
      </c>
      <c r="C70" s="42" t="inlineStr">
        <is>
          <t>https://beachinsurancellc.com/blog/state-minimum-car-insurance-requirements-for-2026-your-essential-guide</t>
        </is>
      </c>
      <c r="D70" s="41" t="inlineStr">
        <is>
          <t>Agency blog; Hawaii change is single-source.</t>
        </is>
      </c>
      <c r="E70" s="43" t="n">
        <v>46295</v>
      </c>
    </row>
    <row r="71" ht="15" customHeight="1" s="29">
      <c r="A71" s="41" t="inlineStr">
        <is>
          <t>CIG Florida - Policy updates for Florida homeowners (Apr 2026)</t>
        </is>
      </c>
      <c r="B71" s="41" t="inlineStr">
        <is>
          <t>Vendor / agency blog</t>
        </is>
      </c>
      <c r="C71" s="42" t="inlineStr">
        <is>
          <t>https://www.cigflorida.com/policy-updates-for-florida-homeowners/</t>
        </is>
      </c>
      <c r="D71" s="41" t="inlineStr">
        <is>
          <t>Carrier/agency blog.</t>
        </is>
      </c>
      <c r="E71" s="43" t="n">
        <v>46295</v>
      </c>
    </row>
    <row r="72" ht="15" customHeight="1" s="29">
      <c r="A72" s="41" t="inlineStr">
        <is>
          <t>Cinco Auto Insurance - Average cost</t>
        </is>
      </c>
      <c r="B72" s="41" t="inlineStr">
        <is>
          <t>Vendor / agency blog</t>
        </is>
      </c>
      <c r="C72" s="42" t="inlineStr">
        <is>
          <t>https://cincoautoinsurance.com/auto-insurance/cost/</t>
        </is>
      </c>
      <c r="D72" s="41" t="inlineStr">
        <is>
          <t>Insurance agency blog; lower reliability.</t>
        </is>
      </c>
      <c r="E72" s="43" t="n">
        <v>46295</v>
      </c>
    </row>
    <row r="73" ht="15" customHeight="1" s="29">
      <c r="A73" s="41" t="inlineStr">
        <is>
          <t>Coverage Classroom - Citizens flood requirement phase-in</t>
        </is>
      </c>
      <c r="B73" s="41" t="inlineStr">
        <is>
          <t>Vendor / agency blog</t>
        </is>
      </c>
      <c r="C73" s="42" t="inlineStr">
        <is>
          <t>https://coverageclassroom.com/learn/citizens-flood-insurance-requirement</t>
        </is>
      </c>
      <c r="D73" s="41" t="inlineStr">
        <is>
          <t>Quotes s. 627.351(6)(aa); market share figures as of Mar 31, 2026.</t>
        </is>
      </c>
      <c r="E73" s="43" t="n">
        <v>46295</v>
      </c>
    </row>
    <row r="74" ht="15" customHeight="1" s="29">
      <c r="A74" s="41" t="inlineStr">
        <is>
          <t>Coverage Classroom - Hurricane insurance in Florida</t>
        </is>
      </c>
      <c r="B74" s="41" t="inlineStr">
        <is>
          <t>Vendor / agency blog</t>
        </is>
      </c>
      <c r="C74" s="42" t="inlineStr">
        <is>
          <t>https://coverageclassroom.com/learn/hurricane-insurance-florida-guide</t>
        </is>
      </c>
      <c r="D74" s="41" t="inlineStr">
        <is>
          <t>Educational site quoting statutes and an OIR July 2026 report.</t>
        </is>
      </c>
      <c r="E74" s="43" t="n">
        <v>46295</v>
      </c>
    </row>
    <row r="75" ht="15" customHeight="1" s="29">
      <c r="A75" s="41" t="inlineStr">
        <is>
          <t>Coverage Criteria - Minimum auto insurance by state (Feb 2026)</t>
        </is>
      </c>
      <c r="B75" s="41" t="inlineStr">
        <is>
          <t>Vendor / agency blog</t>
        </is>
      </c>
      <c r="C75" s="42" t="inlineStr">
        <is>
          <t>https://coveragecriteria.com/articles/minimum-auto-insurance-by-state</t>
        </is>
      </c>
      <c r="D75" s="41" t="inlineStr">
        <is>
          <t>Internally inconsistent on Virginia.</t>
        </is>
      </c>
      <c r="E75" s="43" t="n">
        <v>46295</v>
      </c>
    </row>
    <row r="76" ht="15" customHeight="1" s="29">
      <c r="A76" s="41" t="inlineStr">
        <is>
          <t>EarthquakeNearMe - CA earthquake insurance cost</t>
        </is>
      </c>
      <c r="B76" s="41" t="inlineStr">
        <is>
          <t>Vendor / agency blog</t>
        </is>
      </c>
      <c r="C76" s="42" t="inlineStr">
        <is>
          <t>https://www.earthquakenearme.com/en/blog/earthquake-insurance-california</t>
        </is>
      </c>
      <c r="D76" s="41" t="inlineStr">
        <is>
          <t>Premium range and take-up rate; low reliability.</t>
        </is>
      </c>
      <c r="E76" s="43" t="n">
        <v>46295</v>
      </c>
    </row>
    <row r="77" ht="15" customHeight="1" s="29">
      <c r="A77" s="41" t="inlineStr">
        <is>
          <t>Express Financial - Earthquake insurance in California</t>
        </is>
      </c>
      <c r="B77" s="41" t="inlineStr">
        <is>
          <t>Vendor / agency blog</t>
        </is>
      </c>
      <c r="C77" s="42" t="inlineStr">
        <is>
          <t>https://expressfinancial.net/p/earthquake-insurance-california</t>
        </is>
      </c>
      <c r="D77" s="41" t="inlineStr">
        <is>
          <t>Agency blog; mentions CA offer/re-offer law.</t>
        </is>
      </c>
      <c r="E77" s="43" t="n">
        <v>46295</v>
      </c>
    </row>
    <row r="78" ht="23.85" customHeight="1" s="29">
      <c r="A78" s="41" t="inlineStr">
        <is>
          <t>InsurTool - Average car insurance cost 2026</t>
        </is>
      </c>
      <c r="B78" s="41" t="inlineStr">
        <is>
          <t>Vendor / agency blog</t>
        </is>
      </c>
      <c r="C78" s="42" t="inlineStr">
        <is>
          <t>https://insurtool.com/tools/average-car-insurance-cost/</t>
        </is>
      </c>
      <c r="D78" s="41" t="inlineStr">
        <is>
          <t>Baseline: 35-yr-old, clean record, 12k miles, 100/300/100 with $500 deductibles. Methodology not independently verified.</t>
        </is>
      </c>
      <c r="E78" s="43" t="n">
        <v>46295</v>
      </c>
    </row>
    <row r="79" ht="15" customHeight="1" s="29">
      <c r="A79" s="41" t="inlineStr">
        <is>
          <t>Insurance Geek - Minimum limits by state (Apr 2026)</t>
        </is>
      </c>
      <c r="B79" s="41" t="inlineStr">
        <is>
          <t>Vendor / agency blog</t>
        </is>
      </c>
      <c r="C79" s="42" t="inlineStr">
        <is>
          <t>https://www.insurancegeek.com/auto-insurance/state-minimum-car-insurance-limits/</t>
        </is>
      </c>
      <c r="D79" s="41" t="n"/>
      <c r="E79" s="43" t="n">
        <v>46295</v>
      </c>
    </row>
    <row r="80" ht="15" customHeight="1" s="29">
      <c r="A80" s="41" t="inlineStr">
        <is>
          <t>InsureLeads - TCPA/one-to-one status 2026</t>
        </is>
      </c>
      <c r="B80" s="41" t="inlineStr">
        <is>
          <t>Vendor / agency blog</t>
        </is>
      </c>
      <c r="C80" s="42" t="inlineStr">
        <is>
          <t>https://www.getinsureleads.com/blog/fcc-one-to-one-consent-rule-status-update-2026</t>
        </is>
      </c>
      <c r="D80" s="41" t="inlineStr">
        <is>
          <t>Lead-gen vendor.</t>
        </is>
      </c>
      <c r="E80" s="43" t="n">
        <v>46295</v>
      </c>
    </row>
    <row r="81" ht="15" customHeight="1" s="29">
      <c r="A81" s="41" t="inlineStr">
        <is>
          <t>InsureMojo - Telematics discount programs compared</t>
        </is>
      </c>
      <c r="B81" s="41" t="inlineStr">
        <is>
          <t>Vendor / agency blog</t>
        </is>
      </c>
      <c r="C81" s="42" t="inlineStr">
        <is>
          <t>https://www.insuremojo.com/telematics-insurance-discount-programs/</t>
        </is>
      </c>
      <c r="D81" s="41" t="n"/>
      <c r="E81" s="43" t="n">
        <v>46295</v>
      </c>
    </row>
    <row r="82" ht="15" customHeight="1" s="29">
      <c r="A82" s="41" t="inlineStr">
        <is>
          <t>InsureMojo - Telematics privacy bills 2026</t>
        </is>
      </c>
      <c r="B82" s="41" t="inlineStr">
        <is>
          <t>Vendor / agency blog</t>
        </is>
      </c>
      <c r="C82" s="42" t="inlineStr">
        <is>
          <t>https://www.insuremojo.com/telematics-insurance-data-privacy-bills-2026/</t>
        </is>
      </c>
      <c r="D82" s="41" t="n"/>
      <c r="E82" s="43" t="n">
        <v>46295</v>
      </c>
    </row>
    <row r="83" ht="15" customHeight="1" s="29">
      <c r="A83" s="41" t="inlineStr">
        <is>
          <t>InsuredBetter / Trusted Choice - Car insurance cost 2026</t>
        </is>
      </c>
      <c r="B83" s="41" t="inlineStr">
        <is>
          <t>Vendor / agency blog</t>
        </is>
      </c>
      <c r="C83" s="42" t="inlineStr">
        <is>
          <t>https://www.insuredbetter.com/car-insurance/compare-auto-coverage/rate-cost/</t>
        </is>
      </c>
      <c r="D83" s="41" t="n"/>
      <c r="E83" s="43" t="n">
        <v>46295</v>
      </c>
    </row>
    <row r="84" ht="15" customHeight="1" s="29">
      <c r="A84" s="41" t="inlineStr">
        <is>
          <t>Latent Insurance - TWIA coverage, limits and cost (Aug 2026)</t>
        </is>
      </c>
      <c r="B84" s="41" t="inlineStr">
        <is>
          <t>Vendor / agency blog</t>
        </is>
      </c>
      <c r="C84" s="42" t="inlineStr">
        <is>
          <t>https://www.latentinsure.com/texas-homeowners-insurance/twia</t>
        </is>
      </c>
      <c r="D84" s="41" t="inlineStr">
        <is>
          <t>Agency blog; cites TDI Order 2025-9540.</t>
        </is>
      </c>
      <c r="E84" s="43" t="n">
        <v>46295</v>
      </c>
    </row>
    <row r="85" ht="15" customHeight="1" s="29">
      <c r="A85" s="41" t="inlineStr">
        <is>
          <t>Lead Distro AI - One-to-one consent 2026</t>
        </is>
      </c>
      <c r="B85" s="41" t="inlineStr">
        <is>
          <t>Vendor / agency blog</t>
        </is>
      </c>
      <c r="C85" s="42" t="inlineStr">
        <is>
          <t>https://www.leaddistro.ai/blog/one-to-one-consent</t>
        </is>
      </c>
      <c r="D85" s="41" t="inlineStr">
        <is>
          <t>Reports rule vacated Jan 24, 2025.</t>
        </is>
      </c>
      <c r="E85" s="43" t="n">
        <v>46295</v>
      </c>
    </row>
    <row r="86" ht="15" customHeight="1" s="29">
      <c r="A86" s="41" t="inlineStr">
        <is>
          <t>Lenders Network - Flood insurance mortgage requirements 2026</t>
        </is>
      </c>
      <c r="B86" s="41" t="inlineStr">
        <is>
          <t>Vendor / agency blog</t>
        </is>
      </c>
      <c r="C86" s="42" t="inlineStr">
        <is>
          <t>https://thelendersnetwork.com/flood-insurance-mortgage-requirements/</t>
        </is>
      </c>
      <c r="D86" s="41" t="n"/>
      <c r="E86" s="43" t="n">
        <v>46295</v>
      </c>
    </row>
    <row r="87" ht="15" customHeight="1" s="29">
      <c r="A87" s="41" t="inlineStr">
        <is>
          <t>Meilynx - NAIC AI Model Bulletin explained</t>
        </is>
      </c>
      <c r="B87" s="41" t="inlineStr">
        <is>
          <t>Vendor / agency blog</t>
        </is>
      </c>
      <c r="C87" s="42" t="inlineStr">
        <is>
          <t>https://www.meilynx.com/reference/naic-ai-model-bulletin</t>
        </is>
      </c>
      <c r="D87" s="41" t="inlineStr">
        <is>
          <t>Includes Colorado Reg 10-1-1 dates.</t>
        </is>
      </c>
      <c r="E87" s="43" t="n">
        <v>46295</v>
      </c>
    </row>
    <row r="88" ht="15" customHeight="1" s="29">
      <c r="A88" s="41" t="inlineStr">
        <is>
          <t>QuoteYeti - Telematics tradeoffs</t>
        </is>
      </c>
      <c r="B88" s="41" t="inlineStr">
        <is>
          <t>Vendor / agency blog</t>
        </is>
      </c>
      <c r="C88" s="42" t="inlineStr">
        <is>
          <t>https://www.quoteyeti.com/blog/telematics-tradeoffs/</t>
        </is>
      </c>
      <c r="D88" s="41" t="n"/>
      <c r="E88" s="43" t="n">
        <v>46295</v>
      </c>
    </row>
    <row r="89" ht="15" customHeight="1" s="29">
      <c r="A89" s="41" t="inlineStr">
        <is>
          <t>Real Cost Report - Umbrella insurance cost 2026</t>
        </is>
      </c>
      <c r="B89" s="41" t="inlineStr">
        <is>
          <t>Vendor / agency blog</t>
        </is>
      </c>
      <c r="C89" s="42" t="inlineStr">
        <is>
          <t>https://www.realcostreport.com/insurance/home-insurance/umbrella-insurance-cost/</t>
        </is>
      </c>
      <c r="D89" s="41" t="inlineStr">
        <is>
          <t>Cites III/IRMI; treat as directional.</t>
        </is>
      </c>
      <c r="E89" s="43" t="n">
        <v>46295</v>
      </c>
    </row>
    <row r="90" ht="15" customHeight="1" s="29">
      <c r="A90" s="41" t="inlineStr">
        <is>
          <t>SafeDriver.com - Defensive driving discount 2026</t>
        </is>
      </c>
      <c r="B90" s="41" t="inlineStr">
        <is>
          <t>Vendor / agency blog</t>
        </is>
      </c>
      <c r="C90" s="42" t="inlineStr">
        <is>
          <t>https://www.safedriver.com/news/defensive-driving-for-insurance-discount-2026-how-much-you-can-really-save</t>
        </is>
      </c>
      <c r="D90" s="41" t="inlineStr">
        <is>
          <t>Course provider; commercial interest.</t>
        </is>
      </c>
      <c r="E90" s="43" t="n">
        <v>46295</v>
      </c>
    </row>
    <row r="91" ht="15" customHeight="1" s="29">
      <c r="A91" s="41" t="inlineStr">
        <is>
          <t>Tech Savvy Insurance - States that adopted NAIC AI bulletin</t>
        </is>
      </c>
      <c r="B91" s="41" t="inlineStr">
        <is>
          <t>Vendor / agency blog</t>
        </is>
      </c>
      <c r="C91" s="42" t="inlineStr">
        <is>
          <t>https://techsavvyinsurance.com/answers/which-states-adopted-naic-ai-model-bulletin/</t>
        </is>
      </c>
      <c r="D91" s="41" t="inlineStr">
        <is>
          <t>Cites NAIC map as of Apr 1, 2026.</t>
        </is>
      </c>
      <c r="E91" s="43" t="n">
        <v>46295</v>
      </c>
    </row>
    <row r="92" ht="15" customHeight="1" s="29">
      <c r="A92" s="41" t="inlineStr">
        <is>
          <t>UseCalcPro - Umbrella quote calculator</t>
        </is>
      </c>
      <c r="B92" s="41" t="inlineStr">
        <is>
          <t>Vendor / agency blog</t>
        </is>
      </c>
      <c r="C92" s="42" t="inlineStr">
        <is>
          <t>https://usecalcpro.com/finance/umbrella-insurance-quote-calculator</t>
        </is>
      </c>
      <c r="D92" s="41" t="inlineStr">
        <is>
          <t>Calculator site; low reliability.</t>
        </is>
      </c>
      <c r="E92" s="43" t="n">
        <v>46295</v>
      </c>
    </row>
    <row r="93" ht="15" customHeight="1" s="29">
      <c r="A93" s="41" t="inlineStr">
        <is>
          <t>Viles &amp; Beckman - Did Florida repeal no-fault? (Jul 2026)</t>
        </is>
      </c>
      <c r="B93" s="41" t="inlineStr">
        <is>
          <t>Vendor / agency blog</t>
        </is>
      </c>
      <c r="C93" s="42" t="inlineStr">
        <is>
          <t>https://www.vilesandbeckman.com/blog/did-florida-repeal-no-fault-insurance-the-pip-myths-and-the-facts-for-2026/</t>
        </is>
      </c>
      <c r="D93" s="41" t="inlineStr">
        <is>
          <t>Law firm blog; several firms agree. Verify on flsenate.gov.</t>
        </is>
      </c>
      <c r="E93" s="43" t="n">
        <v>46295</v>
      </c>
    </row>
    <row r="94" ht="15" customHeight="1" s="29">
      <c r="A94" s="41" t="inlineStr">
        <is>
          <t>WalletGrower - Flood insurance 2026</t>
        </is>
      </c>
      <c r="B94" s="41" t="inlineStr">
        <is>
          <t>Vendor / agency blog</t>
        </is>
      </c>
      <c r="C94" s="42" t="inlineStr">
        <is>
          <t>https://walletgrower.com/insurance/homeowners-insurance/flood-insurance</t>
        </is>
      </c>
      <c r="D94" s="41" t="inlineStr">
        <is>
          <t>Contains affiliate links; treat private-vs-NFIP savings claims cautiously.</t>
        </is>
      </c>
      <c r="E94" s="43" t="n">
        <v>46295</v>
      </c>
    </row>
    <row r="95" ht="15" customHeight="1" s="29">
      <c r="A95" s="41" t="inlineStr">
        <is>
          <t>actuary.info - AI regulation in insurance 2026</t>
        </is>
      </c>
      <c r="B95" s="41" t="inlineStr">
        <is>
          <t>Vendor / agency blog</t>
        </is>
      </c>
      <c r="C95" s="42" t="inlineStr">
        <is>
          <t>https://actuary.info/insights/ai-regulation-insurance-naic-2026</t>
        </is>
      </c>
      <c r="D95" s="41" t="inlineStr">
        <is>
          <t>Federal preemption discussion.</t>
        </is>
      </c>
      <c r="E95" s="43" t="n">
        <v>46295</v>
      </c>
    </row>
    <row r="96">
      <c r="A96" s="28" t="inlineStr">
        <is>
          <t>NY Dept of Financial Services - Homeowners Insurance: Basic Coverage and Adding Coverage</t>
        </is>
      </c>
      <c r="B96" s="28" t="inlineStr">
        <is>
          <t>Regulator-published</t>
        </is>
      </c>
      <c r="C96" s="28" t="inlineStr">
        <is>
          <t>https://www.dfs.ny.gov/consumers/help_for_homeowners/insurance/basic_coverage</t>
        </is>
      </c>
      <c r="D96" s="28" t="inlineStr">
        <is>
          <t>NY DFS consumer guide page.</t>
        </is>
      </c>
      <c r="E96" s="48" t="n">
        <v>46296</v>
      </c>
    </row>
    <row r="97">
      <c r="A97" s="28" t="inlineStr">
        <is>
          <t>NY Dept of Financial Services - Homeowners Insurance: Problems Obtaining Insurance (NYPIUA)</t>
        </is>
      </c>
      <c r="B97" s="28" t="inlineStr">
        <is>
          <t>Regulator-published</t>
        </is>
      </c>
      <c r="C97" s="28" t="inlineStr">
        <is>
          <t>https://www.dfs.ny.gov/consumers/help_for_homeowners/insurance/problems_obtaining_insurance</t>
        </is>
      </c>
      <c r="D97" s="28" t="inlineStr">
        <is>
          <t>NY DFS consumer guide page describing NYPIUA, the state residual-market insurer.</t>
        </is>
      </c>
      <c r="E97" s="48" t="n">
        <v>46296</v>
      </c>
    </row>
    <row r="98">
      <c r="A98" s="28" t="inlineStr">
        <is>
          <t>NY Dept of Financial Services - Ways to Save on Homeowners Insurance</t>
        </is>
      </c>
      <c r="B98" s="28" t="inlineStr">
        <is>
          <t>Regulator-published</t>
        </is>
      </c>
      <c r="C98" s="28" t="inlineStr">
        <is>
          <t>https://www.dfs.ny.gov/system/files/documents/2026/02/Ways-to-Save-Homeowners-Insurance.pdf</t>
        </is>
      </c>
      <c r="D98" s="28" t="inlineStr">
        <is>
          <t>NY DFS consumer brochure (PDF).</t>
        </is>
      </c>
      <c r="E98" s="48" t="n">
        <v>46296</v>
      </c>
    </row>
    <row r="99">
      <c r="A99" s="28" t="inlineStr">
        <is>
          <t>NY Dept of Financial Services - Homeowners Insurance: Cancellations and Non-Renewals</t>
        </is>
      </c>
      <c r="B99" s="28" t="inlineStr">
        <is>
          <t>Regulator-published</t>
        </is>
      </c>
      <c r="C99" s="28" t="inlineStr">
        <is>
          <t>https://www.dfs.ny.gov/consumers/help_for_homeowners/insurance/cancellations_and_nonrenewals</t>
        </is>
      </c>
      <c r="D99" s="28" t="inlineStr">
        <is>
          <t>NY DFS consumer guide page; cites 'present law in New York State' and 'the Insurance Law' without a specific section number.</t>
        </is>
      </c>
      <c r="E99" s="48" t="n">
        <v>46296</v>
      </c>
    </row>
  </sheetData>
  <autoFilter ref="A1:E95"/>
  <hyperlinks>
    <hyperlink xmlns:r="http://schemas.openxmlformats.org/officeDocument/2006/relationships" ref="C2" display="https://www.geico.com/save/discounts/defensive-driver-discounts/" r:id="rId1"/>
    <hyperlink xmlns:r="http://schemas.openxmlformats.org/officeDocument/2006/relationships" ref="C3" display="https://www.statefarm.com/insurance/auto/discounts" r:id="rId2"/>
    <hyperlink xmlns:r="http://schemas.openxmlformats.org/officeDocument/2006/relationships" ref="C4" display="https://insurify.com/car-insurance/report/" r:id="rId3"/>
    <hyperlink xmlns:r="http://schemas.openxmlformats.org/officeDocument/2006/relationships" ref="C5" display="https://insurify.com/homeowners-insurance/insights/rates-increase-first-half-2026/" r:id="rId4"/>
    <hyperlink xmlns:r="http://schemas.openxmlformats.org/officeDocument/2006/relationships" ref="C6" display="https://insurify.com/car-insurance/coverage/telematics/" r:id="rId5"/>
    <hyperlink xmlns:r="http://schemas.openxmlformats.org/officeDocument/2006/relationships" ref="C7" display="https://www.thezebra.com/resources/research/car-insurance-rating-factors-by-state/" r:id="rId6"/>
    <hyperlink xmlns:r="http://schemas.openxmlformats.org/officeDocument/2006/relationships" ref="C8" display="https://www.autoinsurance.org/car-insurance-requirements/" r:id="rId7"/>
    <hyperlink xmlns:r="http://schemas.openxmlformats.org/officeDocument/2006/relationships" ref="C9" display="https://www.bankrate.com/insurance/car/are-telematics-programs-worth-the-discount/" r:id="rId8"/>
    <hyperlink xmlns:r="http://schemas.openxmlformats.org/officeDocument/2006/relationships" ref="C10" display="https://www.cnbc.com/2026/04/26/insurance-rates-credit-history.html" r:id="rId9"/>
    <hyperlink xmlns:r="http://schemas.openxmlformats.org/officeDocument/2006/relationships" ref="C11" display="https://www.cnbc.com/select/state-minimum-car-insurance-requirements/" r:id="rId10"/>
    <hyperlink xmlns:r="http://schemas.openxmlformats.org/officeDocument/2006/relationships" ref="C12" display="https://www.carinsurance.com/Articles/minimum-liability-car-insurance-requirements-by-state.aspx" r:id="rId11"/>
    <hyperlink xmlns:r="http://schemas.openxmlformats.org/officeDocument/2006/relationships" ref="C13" display="https://www.experian.com/blogs/ask-experian/average-cost-car-insurance/" r:id="rId12"/>
    <hyperlink xmlns:r="http://schemas.openxmlformats.org/officeDocument/2006/relationships" ref="C14" display="https://www.experian.com/blogs/ask-experian/which-states-prohibit-or-restrict-the-use-of-credit-based-insurance-scores/" r:id="rId13"/>
    <hyperlink xmlns:r="http://schemas.openxmlformats.org/officeDocument/2006/relationships" ref="C15" display="https://www.insurance.com/auto-insurance/car-insurance-discounts.html" r:id="rId14"/>
    <hyperlink xmlns:r="http://schemas.openxmlformats.org/officeDocument/2006/relationships" ref="C16" display="https://insurancenewsnet.com/oarticle/california-fair-plan-rates-going-up-29-1-in-late-2026" r:id="rId15"/>
    <hyperlink xmlns:r="http://schemas.openxmlformats.org/officeDocument/2006/relationships" ref="C17" display="https://www.kqed.org/news/12094860/california-fair-plan-announces-29-1-rate-hike-for-homeowners-this-fall" r:id="rId16"/>
    <hyperlink xmlns:r="http://schemas.openxmlformats.org/officeDocument/2006/relationships" ref="C18" display="https://www.kiplinger.com/personal-finance/insurance/umbrella-insurance/603237/how-much-umbrella-insurance-do-i-need" r:id="rId17"/>
    <hyperlink xmlns:r="http://schemas.openxmlformats.org/officeDocument/2006/relationships" ref="C19" display="https://www.moneygeek.com/insurance/auto/defensive-driver-courses/" r:id="rId18"/>
    <hyperlink xmlns:r="http://schemas.openxmlformats.org/officeDocument/2006/relationships" ref="C20" display="https://www.moneygeek.com/insurance/auto/which-insurance-companies-dont-check-credit-score/" r:id="rId19"/>
    <hyperlink xmlns:r="http://schemas.openxmlformats.org/officeDocument/2006/relationships" ref="C21" display="https://www.nerdwallet.com/insurance/homeowners/learn/average-homeowners-insurance-cost" r:id="rId20"/>
    <hyperlink xmlns:r="http://schemas.openxmlformats.org/officeDocument/2006/relationships" ref="C22" display="https://www.nerdwallet.com/insurance/homeowners/learn/umbrella-insurance" r:id="rId21"/>
    <hyperlink xmlns:r="http://schemas.openxmlformats.org/officeDocument/2006/relationships" ref="C23" display="https://www.newsweek.com/where-your-credit-score-can-cant-raise-insurance-costs-11885672" r:id="rId22"/>
    <hyperlink xmlns:r="http://schemas.openxmlformats.org/officeDocument/2006/relationships" ref="C24" display="https://media.rff.org/documents/WP_25-30.pdf" r:id="rId23"/>
    <hyperlink xmlns:r="http://schemas.openxmlformats.org/officeDocument/2006/relationships" ref="C25" display="https://www.usnews.com/insurance/auto/average-cost-of-car-insurance" r:id="rId24"/>
    <hyperlink xmlns:r="http://schemas.openxmlformats.org/officeDocument/2006/relationships" ref="C26" display="https://uphelp.org/should-states-ban-credit-based-insurance-scoring/" r:id="rId25"/>
    <hyperlink xmlns:r="http://schemas.openxmlformats.org/officeDocument/2006/relationships" ref="C27" display="https://www.valuepenguin.com/state-of-auto-insurance-2026" r:id="rId26"/>
    <hyperlink xmlns:r="http://schemas.openxmlformats.org/officeDocument/2006/relationships" ref="C28" display="https://www.law.cornell.edu/regulations/california/10-CCR-2632.12" r:id="rId27"/>
    <hyperlink xmlns:r="http://schemas.openxmlformats.org/officeDocument/2006/relationships" ref="C29" display="https://www.law.cornell.edu/regulations/california/10-CCR-2632.5" r:id="rId28"/>
    <hyperlink xmlns:r="http://schemas.openxmlformats.org/officeDocument/2006/relationships" ref="C30" display="https://www.dmv.ca.gov/portal/vehicle-registration/insurance-requirements/" r:id="rId29"/>
    <hyperlink xmlns:r="http://schemas.openxmlformats.org/officeDocument/2006/relationships" ref="C31" display="https://www.insurance.ca.gov/01-consumers/105-type/95-guides/03-res/eq-ins.cfm" r:id="rId30"/>
    <hyperlink xmlns:r="http://schemas.openxmlformats.org/officeDocument/2006/relationships" ref="C32" display="https://www.insurance.ca.gov/01-consumers/140-catastrophes/FloodFacts.cfm" r:id="rId31"/>
    <hyperlink xmlns:r="http://schemas.openxmlformats.org/officeDocument/2006/relationships" ref="C33" display="https://www.insurance.ca.gov/01-consumers/105-type/95-guides/upload/Homeowners-Insurance-Updated-121924.pdf" r:id="rId32"/>
    <hyperlink xmlns:r="http://schemas.openxmlformats.org/officeDocument/2006/relationships" ref="C34" display="https://www.insurance.ca.gov/01-consumers/105-type/95-guides/01-auto/auto101.cfm" r:id="rId33"/>
    <hyperlink xmlns:r="http://schemas.openxmlformats.org/officeDocument/2006/relationships" ref="C35" display="https://www.insurance.ca.gov/0400-news/0102-alerts/2024/California-s-Low-Cost-Auto-Insurance.cfm" r:id="rId34"/>
    <hyperlink xmlns:r="http://schemas.openxmlformats.org/officeDocument/2006/relationships" ref="C36" display="https://www.insurance.ca.gov/01-consumers/105-type/95-guides/03-res/res-ins-guide.cfm" r:id="rId35"/>
    <hyperlink xmlns:r="http://schemas.openxmlformats.org/officeDocument/2006/relationships" ref="C37" display="https://www.insurance.ca.gov/01-consumers/200-wrr/Safer-from-Wildfires.cfm" r:id="rId36"/>
    <hyperlink xmlns:r="http://schemas.openxmlformats.org/officeDocument/2006/relationships" ref="C38" display="https://www.insurance.ca.gov/01-consumers/180-climate-change/SustainableInsuranceStrategy.cfm" r:id="rId37"/>
    <hyperlink xmlns:r="http://schemas.openxmlformats.org/officeDocument/2006/relationships" ref="C39" display="https://law.justia.com/codes/california/code-ins/division-2/part-1/chapter-8-5/section-10083/" r:id="rId38"/>
    <hyperlink xmlns:r="http://schemas.openxmlformats.org/officeDocument/2006/relationships" ref="C40" display="https://codes.findlaw.com/ca/insurance-code/ins-sect-11628-3/" r:id="rId39"/>
    <hyperlink xmlns:r="http://schemas.openxmlformats.org/officeDocument/2006/relationships" ref="C41" display="https://law.justia.com/codes/california/code-ins/division-1/part-2/chapter-9/article-10/section-1861-025/" r:id="rId40"/>
    <hyperlink xmlns:r="http://schemas.openxmlformats.org/officeDocument/2006/relationships" ref="C42" display="https://www.insurance.ca.gov/0250-insurers/0300-insurers/0200-bulletins/bulletin-notices-commiss-opinion/upload/Advisory-Notice-2005-02.pdf" r:id="rId41"/>
    <hyperlink xmlns:r="http://schemas.openxmlformats.org/officeDocument/2006/relationships" ref="C43" display="https://www.insurance.ca.gov/0400-news/0100-press-releases/2025/release079-2025.cfm" r:id="rId42"/>
    <hyperlink xmlns:r="http://schemas.openxmlformats.org/officeDocument/2006/relationships" ref="C44" display="https://www.insurance.ca.gov/0400-news/0100-press-releases/2019/release089-19.cfm" r:id="rId43"/>
    <hyperlink xmlns:r="http://schemas.openxmlformats.org/officeDocument/2006/relationships" ref="C45" display="https://www.congress.gov/crs-product/R49353" r:id="rId44"/>
    <hyperlink xmlns:r="http://schemas.openxmlformats.org/officeDocument/2006/relationships" ref="C46" display="https://www.congress.gov/crs-product/IN10835" r:id="rId45"/>
    <hyperlink xmlns:r="http://schemas.openxmlformats.org/officeDocument/2006/relationships" ref="C47" display="https://www.earthquakeauthority.com/california-earthquake-insurance-policies/homeowners" r:id="rId46"/>
    <hyperlink xmlns:r="http://schemas.openxmlformats.org/officeDocument/2006/relationships" ref="C48" display="https://www.myfloridacfo.com/division/consumers/consumerprotections/floridashurricanedeductible" r:id="rId47"/>
    <hyperlink xmlns:r="http://schemas.openxmlformats.org/officeDocument/2006/relationships" ref="C49" display="https://www.flhsmv.gov/insurance/" r:id="rId48"/>
    <hyperlink xmlns:r="http://schemas.openxmlformats.org/officeDocument/2006/relationships" ref="C50" display="https://www.flsenate.gov/Laws/Statutes/2025/0626.9741" r:id="rId49"/>
    <hyperlink xmlns:r="http://schemas.openxmlformats.org/officeDocument/2006/relationships" ref="C51" display="https://flsenate.gov/Laws/Statutes/2003/627.06501" r:id="rId50"/>
    <hyperlink xmlns:r="http://schemas.openxmlformats.org/officeDocument/2006/relationships" ref="C52" display="https://www.flsenate.gov/laws/statutes/2012/627.0652" r:id="rId51"/>
    <hyperlink xmlns:r="http://schemas.openxmlformats.org/officeDocument/2006/relationships" ref="C53" display="https://codes.findlaw.com/fl/title-xxxvii-insurance/fl-st-sect-627-701/" r:id="rId52"/>
    <hyperlink xmlns:r="http://schemas.openxmlformats.org/officeDocument/2006/relationships" ref="C54" display="https://law.justia.com/codes/florida/title-xxxvii/chapter-627/part-xi/section-627-728/" r:id="rId53"/>
    <hyperlink xmlns:r="http://schemas.openxmlformats.org/officeDocument/2006/relationships" ref="C55" display="https://www.flsenate.gov/Laws/Statutes/2022/Chapter324/All" r:id="rId54"/>
    <hyperlink xmlns:r="http://schemas.openxmlformats.org/officeDocument/2006/relationships" ref="C56" display="https://www.flsenate.gov/Laws/Statutes/2025/Chapter627/All" r:id="rId55"/>
    <hyperlink xmlns:r="http://schemas.openxmlformats.org/officeDocument/2006/relationships" ref="C57" display="https://content.naic.org/sites/default/files/consumer-auto-shopping-tool.pdf" r:id="rId56"/>
    <hyperlink xmlns:r="http://schemas.openxmlformats.org/officeDocument/2006/relationships" ref="C58" display="https://www.dfs.ny.gov/faqs/consumer-auto/how-much-auto-insurance-must-i-carry" r:id="rId57"/>
    <hyperlink xmlns:r="http://schemas.openxmlformats.org/officeDocument/2006/relationships" ref="C59" display="https://www.dfs.ny.gov/consumers/auto_insurance/discounts_list" r:id="rId58"/>
    <hyperlink xmlns:r="http://schemas.openxmlformats.org/officeDocument/2006/relationships" ref="C60" display="https://www.dfs.ny.gov/consumers/auto_insurance/Auto_resource_center" r:id="rId59"/>
    <hyperlink xmlns:r="http://schemas.openxmlformats.org/officeDocument/2006/relationships" ref="C61" display="https://leginfo.legislature.ca.gov/faces/billNavClient.xhtml?bill_id=202120220SB1107" r:id="rId60"/>
    <hyperlink xmlns:r="http://schemas.openxmlformats.org/officeDocument/2006/relationships" ref="C62" display="https://www.twia.org/flood-requirement/" r:id="rId61"/>
    <hyperlink xmlns:r="http://schemas.openxmlformats.org/officeDocument/2006/relationships" ref="C63" display="https://www.tdi.texas.gov/pubs/consumer/cb020.html" r:id="rId62"/>
    <hyperlink xmlns:r="http://schemas.openxmlformats.org/officeDocument/2006/relationships" ref="C64" display="https://tdi.texas.gov/blog/category/home-property.html" r:id="rId63"/>
    <hyperlink xmlns:r="http://schemas.openxmlformats.org/officeDocument/2006/relationships" ref="C65" display="https://www.tdi.texas.gov/pubs/consumer/cb025.html" r:id="rId64"/>
    <hyperlink xmlns:r="http://schemas.openxmlformats.org/officeDocument/2006/relationships" ref="C66" display="https://www.tdi.texas.gov/general/texas-homeowners-insurance-market-overview.html" r:id="rId65"/>
    <hyperlink xmlns:r="http://schemas.openxmlformats.org/officeDocument/2006/relationships" ref="C67" display="https://aegivra.com/guides/texas-homeowners-insurance-guide" r:id="rId66"/>
    <hyperlink xmlns:r="http://schemas.openxmlformats.org/officeDocument/2006/relationships" ref="C68" display="https://www.ashmorelaw.com/blog/car-insurance-do-you-have-enough-.cfm" r:id="rId67"/>
    <hyperlink xmlns:r="http://schemas.openxmlformats.org/officeDocument/2006/relationships" ref="C69" display="https://atesariskadvisors.com/blog/florida-private-flood-insurance-vs-nfip-2026" r:id="rId68"/>
    <hyperlink xmlns:r="http://schemas.openxmlformats.org/officeDocument/2006/relationships" ref="C70" display="https://beachinsurancellc.com/blog/state-minimum-car-insurance-requirements-for-2026-your-essential-guide" r:id="rId69"/>
    <hyperlink xmlns:r="http://schemas.openxmlformats.org/officeDocument/2006/relationships" ref="C71" display="https://www.cigflorida.com/policy-updates-for-florida-homeowners/" r:id="rId70"/>
    <hyperlink xmlns:r="http://schemas.openxmlformats.org/officeDocument/2006/relationships" ref="C72" display="https://cincoautoinsurance.com/auto-insurance/cost/" r:id="rId71"/>
    <hyperlink xmlns:r="http://schemas.openxmlformats.org/officeDocument/2006/relationships" ref="C73" display="https://coverageclassroom.com/learn/citizens-flood-insurance-requirement" r:id="rId72"/>
    <hyperlink xmlns:r="http://schemas.openxmlformats.org/officeDocument/2006/relationships" ref="C74" display="https://coverageclassroom.com/learn/hurricane-insurance-florida-guide" r:id="rId73"/>
    <hyperlink xmlns:r="http://schemas.openxmlformats.org/officeDocument/2006/relationships" ref="C75" display="https://coveragecriteria.com/articles/minimum-auto-insurance-by-state" r:id="rId74"/>
    <hyperlink xmlns:r="http://schemas.openxmlformats.org/officeDocument/2006/relationships" ref="C76" display="https://www.earthquakenearme.com/en/blog/earthquake-insurance-california" r:id="rId75"/>
    <hyperlink xmlns:r="http://schemas.openxmlformats.org/officeDocument/2006/relationships" ref="C77" display="https://expressfinancial.net/p/earthquake-insurance-california" r:id="rId76"/>
    <hyperlink xmlns:r="http://schemas.openxmlformats.org/officeDocument/2006/relationships" ref="C78" display="https://insurtool.com/tools/average-car-insurance-cost/" r:id="rId77"/>
    <hyperlink xmlns:r="http://schemas.openxmlformats.org/officeDocument/2006/relationships" ref="C79" display="https://www.insurancegeek.com/auto-insurance/state-minimum-car-insurance-limits/" r:id="rId78"/>
    <hyperlink xmlns:r="http://schemas.openxmlformats.org/officeDocument/2006/relationships" ref="C80" display="https://www.getinsureleads.com/blog/fcc-one-to-one-consent-rule-status-update-2026" r:id="rId79"/>
    <hyperlink xmlns:r="http://schemas.openxmlformats.org/officeDocument/2006/relationships" ref="C81" display="https://www.insuremojo.com/telematics-insurance-discount-programs/" r:id="rId80"/>
    <hyperlink xmlns:r="http://schemas.openxmlformats.org/officeDocument/2006/relationships" ref="C82" display="https://www.insuremojo.com/telematics-insurance-data-privacy-bills-2026/" r:id="rId81"/>
    <hyperlink xmlns:r="http://schemas.openxmlformats.org/officeDocument/2006/relationships" ref="C83" display="https://www.insuredbetter.com/car-insurance/compare-auto-coverage/rate-cost/" r:id="rId82"/>
    <hyperlink xmlns:r="http://schemas.openxmlformats.org/officeDocument/2006/relationships" ref="C84" display="https://www.latentinsure.com/texas-homeowners-insurance/twia" r:id="rId83"/>
    <hyperlink xmlns:r="http://schemas.openxmlformats.org/officeDocument/2006/relationships" ref="C85" display="https://www.leaddistro.ai/blog/one-to-one-consent" r:id="rId84"/>
    <hyperlink xmlns:r="http://schemas.openxmlformats.org/officeDocument/2006/relationships" ref="C86" display="https://thelendersnetwork.com/flood-insurance-mortgage-requirements/" r:id="rId85"/>
    <hyperlink xmlns:r="http://schemas.openxmlformats.org/officeDocument/2006/relationships" ref="C87" display="https://www.meilynx.com/reference/naic-ai-model-bulletin" r:id="rId86"/>
    <hyperlink xmlns:r="http://schemas.openxmlformats.org/officeDocument/2006/relationships" ref="C88" display="https://www.quoteyeti.com/blog/telematics-tradeoffs/" r:id="rId87"/>
    <hyperlink xmlns:r="http://schemas.openxmlformats.org/officeDocument/2006/relationships" ref="C89" display="https://www.realcostreport.com/insurance/home-insurance/umbrella-insurance-cost/" r:id="rId88"/>
    <hyperlink xmlns:r="http://schemas.openxmlformats.org/officeDocument/2006/relationships" ref="C90" display="https://www.safedriver.com/news/defensive-driving-for-insurance-discount-2026-how-much-you-can-really-save" r:id="rId89"/>
    <hyperlink xmlns:r="http://schemas.openxmlformats.org/officeDocument/2006/relationships" ref="C91" display="https://techsavvyinsurance.com/answers/which-states-adopted-naic-ai-model-bulletin/" r:id="rId90"/>
    <hyperlink xmlns:r="http://schemas.openxmlformats.org/officeDocument/2006/relationships" ref="C92" display="https://usecalcpro.com/finance/umbrella-insurance-quote-calculator" r:id="rId91"/>
    <hyperlink xmlns:r="http://schemas.openxmlformats.org/officeDocument/2006/relationships" ref="C93" display="https://www.vilesandbeckman.com/blog/did-florida-repeal-no-fault-insurance-the-pip-myths-and-the-facts-for-2026/" r:id="rId92"/>
    <hyperlink xmlns:r="http://schemas.openxmlformats.org/officeDocument/2006/relationships" ref="C94" display="https://walletgrower.com/insurance/homeowners-insurance/flood-insurance" r:id="rId93"/>
    <hyperlink xmlns:r="http://schemas.openxmlformats.org/officeDocument/2006/relationships" ref="C95" display="https://actuary.info/insights/ai-regulation-insurance-naic-2026" r:id="rId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Topic</t>
        </is>
      </c>
      <c r="B1" s="28" t="inlineStr">
        <is>
          <t>Fact</t>
        </is>
      </c>
      <c r="C1" s="28" t="inlineStr">
        <is>
          <t>Value</t>
        </is>
      </c>
      <c r="D1" s="28" t="inlineStr">
        <is>
          <t>Legal Citation</t>
        </is>
      </c>
      <c r="E1" s="28" t="inlineStr">
        <is>
          <t>Source</t>
        </is>
      </c>
      <c r="F1" s="28" t="inlineStr">
        <is>
          <t>Source URL</t>
        </is>
      </c>
      <c r="G1" s="28" t="inlineStr">
        <is>
          <t>Date Collected</t>
        </is>
      </c>
      <c r="H1" s="28" t="inlineStr">
        <is>
          <t>Geographic Scope</t>
        </is>
      </c>
      <c r="I1" s="28" t="inlineStr">
        <is>
          <t>Data Type</t>
        </is>
      </c>
      <c r="J1" s="28" t="inlineStr">
        <is>
          <t>Verification Status</t>
        </is>
      </c>
      <c r="K1" s="28" t="inlineStr">
        <is>
          <t>Last Updated</t>
        </is>
      </c>
      <c r="L1" s="28" t="inlineStr">
        <is>
          <t>Notes</t>
        </is>
      </c>
    </row>
    <row r="2">
      <c r="A2" s="28" t="inlineStr">
        <is>
          <t>Coverage</t>
        </is>
      </c>
      <c r="B2" s="28" t="inlineStr">
        <is>
          <t>Other structures (garages, sheds)</t>
        </is>
      </c>
      <c r="C2" s="28" t="inlineStr">
        <is>
          <t>Typically 10% of the dwelling coverage limit under a Special Form Policy</t>
        </is>
      </c>
      <c r="D2" s="28" t="inlineStr">
        <is>
          <t>DFS homeowners guide</t>
        </is>
      </c>
      <c r="E2" s="28" t="inlineStr">
        <is>
          <t>NY Dept of Financial Services - Homeowners Insurance: Basic Coverage and Adding Coverage</t>
        </is>
      </c>
      <c r="F2" s="28" t="inlineStr">
        <is>
          <t>https://www.dfs.ny.gov/consumers/help_for_homeowners/insurance/basic_coverage</t>
        </is>
      </c>
      <c r="G2" s="48" t="n">
        <v>46296</v>
      </c>
      <c r="H2" s="28" t="inlineStr">
        <is>
          <t>New York</t>
        </is>
      </c>
      <c r="I2" s="28" t="inlineStr">
        <is>
          <t>Regulator-published</t>
        </is>
      </c>
      <c r="J2" s="28" t="inlineStr">
        <is>
          <t>Primary source</t>
        </is>
      </c>
      <c r="K2" s="48" t="n">
        <v>46296</v>
      </c>
    </row>
    <row r="3">
      <c r="A3" s="28" t="inlineStr">
        <is>
          <t>Coverage</t>
        </is>
      </c>
      <c r="B3" s="28" t="inlineStr">
        <is>
          <t>Personal property on premises</t>
        </is>
      </c>
      <c r="C3" s="28" t="inlineStr">
        <is>
          <t>Typically 50% of the dwelling coverage limit</t>
        </is>
      </c>
      <c r="D3" s="28" t="inlineStr">
        <is>
          <t>DFS homeowners guide</t>
        </is>
      </c>
      <c r="E3" s="28" t="inlineStr">
        <is>
          <t>NY Dept of Financial Services - Homeowners Insurance: Basic Coverage and Adding Coverage</t>
        </is>
      </c>
      <c r="F3" s="28" t="inlineStr">
        <is>
          <t>https://www.dfs.ny.gov/consumers/help_for_homeowners/insurance/basic_coverage</t>
        </is>
      </c>
      <c r="G3" s="48" t="n">
        <v>46296</v>
      </c>
      <c r="H3" s="28" t="inlineStr">
        <is>
          <t>New York</t>
        </is>
      </c>
      <c r="I3" s="28" t="inlineStr">
        <is>
          <t>Regulator-published</t>
        </is>
      </c>
      <c r="J3" s="28" t="inlineStr">
        <is>
          <t>Primary source</t>
        </is>
      </c>
      <c r="K3" s="48" t="n">
        <v>46296</v>
      </c>
    </row>
    <row r="4">
      <c r="A4" s="28" t="inlineStr">
        <is>
          <t>Coverage</t>
        </is>
      </c>
      <c r="B4" s="28" t="inlineStr">
        <is>
          <t>Personal property off premises</t>
        </is>
      </c>
      <c r="C4" s="28" t="inlineStr">
        <is>
          <t>Typically 10% of the dwelling coverage limit</t>
        </is>
      </c>
      <c r="D4" s="28" t="inlineStr">
        <is>
          <t>DFS homeowners guide</t>
        </is>
      </c>
      <c r="E4" s="28" t="inlineStr">
        <is>
          <t>NY Dept of Financial Services - Homeowners Insurance: Basic Coverage and Adding Coverage</t>
        </is>
      </c>
      <c r="F4" s="28" t="inlineStr">
        <is>
          <t>https://www.dfs.ny.gov/consumers/help_for_homeowners/insurance/basic_coverage</t>
        </is>
      </c>
      <c r="G4" s="48" t="n">
        <v>46296</v>
      </c>
      <c r="H4" s="28" t="inlineStr">
        <is>
          <t>New York</t>
        </is>
      </c>
      <c r="I4" s="28" t="inlineStr">
        <is>
          <t>Regulator-published</t>
        </is>
      </c>
      <c r="J4" s="28" t="inlineStr">
        <is>
          <t>Primary source</t>
        </is>
      </c>
      <c r="K4" s="48" t="n">
        <v>46296</v>
      </c>
    </row>
    <row r="5">
      <c r="A5" s="28" t="inlineStr">
        <is>
          <t>Coverage</t>
        </is>
      </c>
      <c r="B5" s="28" t="inlineStr">
        <is>
          <t>Additional living expenses (loss of use)</t>
        </is>
      </c>
      <c r="C5" s="28" t="inlineStr">
        <is>
          <t>Typically 20% of the dwelling coverage limit</t>
        </is>
      </c>
      <c r="D5" s="28" t="inlineStr">
        <is>
          <t>DFS homeowners guide</t>
        </is>
      </c>
      <c r="E5" s="28" t="inlineStr">
        <is>
          <t>NY Dept of Financial Services - Homeowners Insurance: Basic Coverage and Adding Coverage</t>
        </is>
      </c>
      <c r="F5" s="28" t="inlineStr">
        <is>
          <t>https://www.dfs.ny.gov/consumers/help_for_homeowners/insurance/basic_coverage</t>
        </is>
      </c>
      <c r="G5" s="48" t="n">
        <v>46296</v>
      </c>
      <c r="H5" s="28" t="inlineStr">
        <is>
          <t>New York</t>
        </is>
      </c>
      <c r="I5" s="28" t="inlineStr">
        <is>
          <t>Regulator-published</t>
        </is>
      </c>
      <c r="J5" s="28" t="inlineStr">
        <is>
          <t>Primary source</t>
        </is>
      </c>
      <c r="K5" s="48" t="n">
        <v>46296</v>
      </c>
    </row>
    <row r="6">
      <c r="A6" s="28" t="inlineStr">
        <is>
          <t>Coverage</t>
        </is>
      </c>
      <c r="B6" s="28" t="inlineStr">
        <is>
          <t>Special limits on specific property</t>
        </is>
      </c>
      <c r="C6" s="28" t="inlineStr">
        <is>
          <t>Typical per-loss maximums under a standard policy: money/bullion $200; securities/deeds/letters of credit $1,500; watercraft (incl. trailers) $1,500; jewelry/watches/furs theft $1,500; silverware/goldware theft $2,500; firearms theft $2,500; business property on premises $2,500, away from premises $500; electronic apparatus in motor vehicles $1,500</t>
        </is>
      </c>
      <c r="D6" s="28" t="inlineStr">
        <is>
          <t>DFS homeowners guide</t>
        </is>
      </c>
      <c r="E6" s="28" t="inlineStr">
        <is>
          <t>NY Dept of Financial Services - Homeowners Insurance: Basic Coverage and Adding Coverage</t>
        </is>
      </c>
      <c r="F6" s="28" t="inlineStr">
        <is>
          <t>https://www.dfs.ny.gov/consumers/help_for_homeowners/insurance/basic_coverage</t>
        </is>
      </c>
      <c r="G6" s="48" t="n">
        <v>46296</v>
      </c>
      <c r="H6" s="28" t="inlineStr">
        <is>
          <t>New York</t>
        </is>
      </c>
      <c r="I6" s="28" t="inlineStr">
        <is>
          <t>Regulator-published</t>
        </is>
      </c>
      <c r="J6" s="28" t="inlineStr">
        <is>
          <t>Primary source</t>
        </is>
      </c>
      <c r="K6" s="48" t="n">
        <v>46296</v>
      </c>
    </row>
    <row r="7">
      <c r="A7" s="28" t="inlineStr">
        <is>
          <t>Liability</t>
        </is>
      </c>
      <c r="B7" s="28" t="inlineStr">
        <is>
          <t>Typical liability and medical payments limits</t>
        </is>
      </c>
      <c r="C7" s="28" t="inlineStr">
        <is>
          <t>Personal liability limits of $25,000 per occurrence and medical payments limits of $1,000 per person are typical; guest medical expense coverage is generally up to $500 or $1,000</t>
        </is>
      </c>
      <c r="D7" s="28" t="inlineStr">
        <is>
          <t>DFS homeowners guide</t>
        </is>
      </c>
      <c r="E7" s="28" t="inlineStr">
        <is>
          <t>NY Dept of Financial Services - Homeowners Insurance: Basic Coverage and Adding Coverage</t>
        </is>
      </c>
      <c r="F7" s="28" t="inlineStr">
        <is>
          <t>https://www.dfs.ny.gov/consumers/help_for_homeowners/insurance/basic_coverage</t>
        </is>
      </c>
      <c r="G7" s="48" t="n">
        <v>46296</v>
      </c>
      <c r="H7" s="28" t="inlineStr">
        <is>
          <t>New York</t>
        </is>
      </c>
      <c r="I7" s="28" t="inlineStr">
        <is>
          <t>Regulator-published</t>
        </is>
      </c>
      <c r="J7" s="28" t="inlineStr">
        <is>
          <t>Primary source</t>
        </is>
      </c>
      <c r="K7" s="48" t="n">
        <v>46296</v>
      </c>
    </row>
    <row r="8">
      <c r="A8" s="28" t="inlineStr">
        <is>
          <t>Deductibles</t>
        </is>
      </c>
      <c r="B8" s="28" t="inlineStr">
        <is>
          <t>Standard deductible</t>
        </is>
      </c>
      <c r="C8" s="28" t="inlineStr">
        <is>
          <t>Standard deductibles typically start at $250, with options for $500 and $1,000</t>
        </is>
      </c>
      <c r="D8" s="28" t="inlineStr">
        <is>
          <t>DFS homeowners guide</t>
        </is>
      </c>
      <c r="E8" s="28" t="inlineStr">
        <is>
          <t>NY Dept of Financial Services - Homeowners Insurance: Basic Coverage and Adding Coverage</t>
        </is>
      </c>
      <c r="F8" s="28" t="inlineStr">
        <is>
          <t>https://www.dfs.ny.gov/consumers/help_for_homeowners/insurance/basic_coverage</t>
        </is>
      </c>
      <c r="G8" s="48" t="n">
        <v>46296</v>
      </c>
      <c r="H8" s="28" t="inlineStr">
        <is>
          <t>New York</t>
        </is>
      </c>
      <c r="I8" s="28" t="inlineStr">
        <is>
          <t>Regulator-published</t>
        </is>
      </c>
      <c r="J8" s="28" t="inlineStr">
        <is>
          <t>Primary source</t>
        </is>
      </c>
      <c r="K8" s="48" t="n">
        <v>46296</v>
      </c>
    </row>
    <row r="9">
      <c r="A9" s="28" t="inlineStr">
        <is>
          <t>Deductibles</t>
        </is>
      </c>
      <c r="B9" s="28" t="inlineStr">
        <is>
          <t>Windstorm/hurricane deductible</t>
        </is>
      </c>
      <c r="C9" s="28" t="inlineStr">
        <is>
          <t>Windstorm and hurricane deductibles commonly range from 1% to 5% of the dwelling value or insured amount</t>
        </is>
      </c>
      <c r="D9" s="28" t="inlineStr">
        <is>
          <t>DFS homeowners guide</t>
        </is>
      </c>
      <c r="E9" s="28" t="inlineStr">
        <is>
          <t>NY Dept of Financial Services - Homeowners Insurance: Basic Coverage and Adding Coverage</t>
        </is>
      </c>
      <c r="F9" s="28" t="inlineStr">
        <is>
          <t>https://www.dfs.ny.gov/consumers/help_for_homeowners/insurance/basic_coverage</t>
        </is>
      </c>
      <c r="G9" s="48" t="n">
        <v>46296</v>
      </c>
      <c r="H9" s="28" t="inlineStr">
        <is>
          <t>New York</t>
        </is>
      </c>
      <c r="I9" s="28" t="inlineStr">
        <is>
          <t>Regulator-published</t>
        </is>
      </c>
      <c r="J9" s="28" t="inlineStr">
        <is>
          <t>Primary source</t>
        </is>
      </c>
      <c r="K9" s="48" t="n">
        <v>46296</v>
      </c>
    </row>
    <row r="10">
      <c r="A10" s="28" t="inlineStr">
        <is>
          <t>Coverage</t>
        </is>
      </c>
      <c r="B10" s="28" t="inlineStr">
        <is>
          <t>Flood exclusion</t>
        </is>
      </c>
      <c r="C10" s="28" t="inlineStr">
        <is>
          <t>Flood and mudslide losses are not provided in standard homeowners policies</t>
        </is>
      </c>
      <c r="D10" s="28" t="inlineStr">
        <is>
          <t>DFS homeowners guide</t>
        </is>
      </c>
      <c r="E10" s="28" t="inlineStr">
        <is>
          <t>NY Dept of Financial Services - Homeowners Insurance: Basic Coverage and Adding Coverage</t>
        </is>
      </c>
      <c r="F10" s="28" t="inlineStr">
        <is>
          <t>https://www.dfs.ny.gov/consumers/help_for_homeowners/insurance/basic_coverage</t>
        </is>
      </c>
      <c r="G10" s="48" t="n">
        <v>46296</v>
      </c>
      <c r="H10" s="28" t="inlineStr">
        <is>
          <t>New York</t>
        </is>
      </c>
      <c r="I10" s="28" t="inlineStr">
        <is>
          <t>Regulator-published</t>
        </is>
      </c>
      <c r="J10" s="28" t="inlineStr">
        <is>
          <t>Primary source</t>
        </is>
      </c>
      <c r="K10" s="48" t="n">
        <v>46296</v>
      </c>
    </row>
    <row r="11">
      <c r="A11" s="28" t="inlineStr">
        <is>
          <t>Coverage</t>
        </is>
      </c>
      <c r="B11" s="28" t="inlineStr">
        <is>
          <t>Earthquake exclusion</t>
        </is>
      </c>
      <c r="C11" s="28" t="inlineStr">
        <is>
          <t>Earthquakes are not covered under standard homeowners policies</t>
        </is>
      </c>
      <c r="D11" s="28" t="inlineStr">
        <is>
          <t>DFS homeowners guide</t>
        </is>
      </c>
      <c r="E11" s="28" t="inlineStr">
        <is>
          <t>NY Dept of Financial Services - Homeowners Insurance: Basic Coverage and Adding Coverage</t>
        </is>
      </c>
      <c r="F11" s="28" t="inlineStr">
        <is>
          <t>https://www.dfs.ny.gov/consumers/help_for_homeowners/insurance/basic_coverage</t>
        </is>
      </c>
      <c r="G11" s="48" t="n">
        <v>46296</v>
      </c>
      <c r="H11" s="28" t="inlineStr">
        <is>
          <t>New York</t>
        </is>
      </c>
      <c r="I11" s="28" t="inlineStr">
        <is>
          <t>Regulator-published</t>
        </is>
      </c>
      <c r="J11" s="28" t="inlineStr">
        <is>
          <t>Primary source</t>
        </is>
      </c>
      <c r="K11" s="48" t="n">
        <v>46296</v>
      </c>
    </row>
    <row r="12">
      <c r="A12" s="28" t="inlineStr">
        <is>
          <t>NYPIUA</t>
        </is>
      </c>
      <c r="B12" s="28" t="inlineStr">
        <is>
          <t>What it is</t>
        </is>
      </c>
      <c r="C12" s="28" t="inlineStr">
        <is>
          <t>New York's residual-market insurer for homeowners who cannot obtain coverage in the voluntary market</t>
        </is>
      </c>
      <c r="D12" s="28" t="inlineStr">
        <is>
          <t>DFS homeowners guide (NYPIUA)</t>
        </is>
      </c>
      <c r="E12" s="28" t="inlineStr">
        <is>
          <t>NY Dept of Financial Services - Homeowners Insurance: Problems Obtaining Insurance (NYPIUA)</t>
        </is>
      </c>
      <c r="F12" s="28" t="inlineStr">
        <is>
          <t>https://www.dfs.ny.gov/consumers/help_for_homeowners/insurance/problems_obtaining_insurance</t>
        </is>
      </c>
      <c r="G12" s="48" t="n">
        <v>46296</v>
      </c>
      <c r="H12" s="28" t="inlineStr">
        <is>
          <t>New York</t>
        </is>
      </c>
      <c r="I12" s="28" t="inlineStr">
        <is>
          <t>Regulator-published</t>
        </is>
      </c>
      <c r="J12" s="28" t="inlineStr">
        <is>
          <t>Primary source</t>
        </is>
      </c>
      <c r="K12" s="48" t="n">
        <v>46296</v>
      </c>
    </row>
    <row r="13">
      <c r="A13" s="28" t="inlineStr">
        <is>
          <t>NYPIUA</t>
        </is>
      </c>
      <c r="B13" s="28" t="inlineStr">
        <is>
          <t>What it covers</t>
        </is>
      </c>
      <c r="C13" s="28" t="inlineStr">
        <is>
          <t>Basic Form generally covers fire and extended-coverage perils: wind (including hurricane), hail, explosion (except steam boilers), riot, civil commotion, aircraft, vehicles, smoke, vandalism and malicious mischief; a Broad Form option adds more perils</t>
        </is>
      </c>
      <c r="D13" s="28" t="inlineStr">
        <is>
          <t>DFS homeowners guide (NYPIUA)</t>
        </is>
      </c>
      <c r="E13" s="28" t="inlineStr">
        <is>
          <t>NY Dept of Financial Services - Homeowners Insurance: Problems Obtaining Insurance (NYPIUA)</t>
        </is>
      </c>
      <c r="F13" s="28" t="inlineStr">
        <is>
          <t>https://www.dfs.ny.gov/consumers/help_for_homeowners/insurance/problems_obtaining_insurance</t>
        </is>
      </c>
      <c r="G13" s="48" t="n">
        <v>46296</v>
      </c>
      <c r="H13" s="28" t="inlineStr">
        <is>
          <t>New York</t>
        </is>
      </c>
      <c r="I13" s="28" t="inlineStr">
        <is>
          <t>Regulator-published</t>
        </is>
      </c>
      <c r="J13" s="28" t="inlineStr">
        <is>
          <t>Primary source</t>
        </is>
      </c>
      <c r="K13" s="48" t="n">
        <v>46296</v>
      </c>
    </row>
    <row r="14">
      <c r="A14" s="28" t="inlineStr">
        <is>
          <t>NYPIUA</t>
        </is>
      </c>
      <c r="B14" s="28" t="inlineStr">
        <is>
          <t>Exclusions</t>
        </is>
      </c>
      <c r="C14" s="28" t="inlineStr">
        <is>
          <t>NYPIUA policies do not include liability, flood, or theft coverage</t>
        </is>
      </c>
      <c r="D14" s="28" t="inlineStr">
        <is>
          <t>DFS homeowners guide (NYPIUA)</t>
        </is>
      </c>
      <c r="E14" s="28" t="inlineStr">
        <is>
          <t>NY Dept of Financial Services - Homeowners Insurance: Problems Obtaining Insurance (NYPIUA)</t>
        </is>
      </c>
      <c r="F14" s="28" t="inlineStr">
        <is>
          <t>https://www.dfs.ny.gov/consumers/help_for_homeowners/insurance/problems_obtaining_insurance</t>
        </is>
      </c>
      <c r="G14" s="48" t="n">
        <v>46296</v>
      </c>
      <c r="H14" s="28" t="inlineStr">
        <is>
          <t>New York</t>
        </is>
      </c>
      <c r="I14" s="28" t="inlineStr">
        <is>
          <t>Regulator-published</t>
        </is>
      </c>
      <c r="J14" s="28" t="inlineStr">
        <is>
          <t>Primary source</t>
        </is>
      </c>
      <c r="K14" s="48" t="n">
        <v>46296</v>
      </c>
    </row>
    <row r="15">
      <c r="A15" s="28" t="inlineStr">
        <is>
          <t>NYPIUA</t>
        </is>
      </c>
      <c r="B15" s="28" t="inlineStr">
        <is>
          <t>Hurricane deductible</t>
        </is>
      </c>
      <c r="C15" s="28" t="inlineStr">
        <is>
          <t>Broad Form NYPIUA policies carry a 2% hurricane deductible in Bronx, Kings, Nassau, Queens, Richmond, Suffolk and Westchester counties</t>
        </is>
      </c>
      <c r="D15" s="28" t="inlineStr">
        <is>
          <t>DFS homeowners guide (NYPIUA)</t>
        </is>
      </c>
      <c r="E15" s="28" t="inlineStr">
        <is>
          <t>NY Dept of Financial Services - Homeowners Insurance: Problems Obtaining Insurance (NYPIUA)</t>
        </is>
      </c>
      <c r="F15" s="28" t="inlineStr">
        <is>
          <t>https://www.dfs.ny.gov/consumers/help_for_homeowners/insurance/problems_obtaining_insurance</t>
        </is>
      </c>
      <c r="G15" s="48" t="n">
        <v>46296</v>
      </c>
      <c r="H15" s="28" t="inlineStr">
        <is>
          <t>New York</t>
        </is>
      </c>
      <c r="I15" s="28" t="inlineStr">
        <is>
          <t>Regulator-published</t>
        </is>
      </c>
      <c r="J15" s="28" t="inlineStr">
        <is>
          <t>Primary source</t>
        </is>
      </c>
      <c r="K15" s="48" t="n">
        <v>46296</v>
      </c>
    </row>
    <row r="16">
      <c r="A16" s="28" t="inlineStr">
        <is>
          <t>NYPIUA</t>
        </is>
      </c>
      <c r="B16" s="28" t="inlineStr">
        <is>
          <t>Settlement basis and cost</t>
        </is>
      </c>
      <c r="C16" s="28" t="inlineStr">
        <is>
          <t>NYPIUA coverage is generally offered on an actual cash value basis and is sold at a higher premium than coverage in the voluntary market</t>
        </is>
      </c>
      <c r="D16" s="28" t="inlineStr">
        <is>
          <t>DFS homeowners guide (NYPIUA)</t>
        </is>
      </c>
      <c r="E16" s="28" t="inlineStr">
        <is>
          <t>NY Dept of Financial Services - Homeowners Insurance: Problems Obtaining Insurance (NYPIUA)</t>
        </is>
      </c>
      <c r="F16" s="28" t="inlineStr">
        <is>
          <t>https://www.dfs.ny.gov/consumers/help_for_homeowners/insurance/problems_obtaining_insurance</t>
        </is>
      </c>
      <c r="G16" s="48" t="n">
        <v>46296</v>
      </c>
      <c r="H16" s="28" t="inlineStr">
        <is>
          <t>New York</t>
        </is>
      </c>
      <c r="I16" s="28" t="inlineStr">
        <is>
          <t>Regulator-published</t>
        </is>
      </c>
      <c r="J16" s="28" t="inlineStr">
        <is>
          <t>Primary source</t>
        </is>
      </c>
      <c r="K16" s="48" t="n">
        <v>46296</v>
      </c>
    </row>
    <row r="17">
      <c r="A17" s="28" t="inlineStr">
        <is>
          <t>Rating factors</t>
        </is>
      </c>
      <c r="B17" s="28" t="inlineStr">
        <is>
          <t>Credit information disclosure and re-rating rights</t>
        </is>
      </c>
      <c r="C17" s="28" t="inlineStr">
        <is>
          <t>If credit information is used in underwriting or rating a homeowners policy, the insurer must inform the policyholder; a policyholder may request re-underwriting and re-rating based on current credit information at least every three years; insurers may only use updated credit information to decrease premiums, never to increase them</t>
        </is>
      </c>
      <c r="D17" s="28" t="inlineStr">
        <is>
          <t>DFS consumer guide (Ways to Save on Homeowners Insurance)</t>
        </is>
      </c>
      <c r="E17" s="28" t="inlineStr">
        <is>
          <t>NY Dept of Financial Services - Ways to Save on Homeowners Insurance</t>
        </is>
      </c>
      <c r="F17" s="28" t="inlineStr">
        <is>
          <t>https://www.dfs.ny.gov/system/files/documents/2026/02/Ways-to-Save-Homeowners-Insurance.pdf</t>
        </is>
      </c>
      <c r="G17" s="48" t="n">
        <v>46296</v>
      </c>
      <c r="H17" s="28" t="inlineStr">
        <is>
          <t>New York</t>
        </is>
      </c>
      <c r="I17" s="28" t="inlineStr">
        <is>
          <t>Regulator-published</t>
        </is>
      </c>
      <c r="J17" s="28" t="inlineStr">
        <is>
          <t>Primary source</t>
        </is>
      </c>
      <c r="K17" s="48" t="n">
        <v>46296</v>
      </c>
    </row>
    <row r="18">
      <c r="A18" s="28" t="inlineStr">
        <is>
          <t>Cancellation</t>
        </is>
      </c>
      <c r="B18" s="28" t="inlineStr">
        <is>
          <t>Cancellation within first 60 days</t>
        </is>
      </c>
      <c r="C18" s="28" t="inlineStr">
        <is>
          <t>An insurer may cancel a homeowners or tenants policy by issuing a cancellation notice during the first 60 days it is in effect, as long as the notice states the specific reason</t>
        </is>
      </c>
      <c r="D18" s="28" t="inlineStr">
        <is>
          <t>NY Insurance Law, per DFS guide</t>
        </is>
      </c>
      <c r="E18" s="28" t="inlineStr">
        <is>
          <t>NY Dept of Financial Services - Homeowners Insurance: Cancellations and Non-Renewals</t>
        </is>
      </c>
      <c r="F18" s="28" t="inlineStr">
        <is>
          <t>https://www.dfs.ny.gov/consumers/help_for_homeowners/insurance/cancellations_and_nonrenewals</t>
        </is>
      </c>
      <c r="G18" s="48" t="n">
        <v>46296</v>
      </c>
      <c r="H18" s="28" t="inlineStr">
        <is>
          <t>New York</t>
        </is>
      </c>
      <c r="I18" s="28" t="inlineStr">
        <is>
          <t>Regulator-published</t>
        </is>
      </c>
      <c r="J18" s="28" t="inlineStr">
        <is>
          <t>Primary source</t>
        </is>
      </c>
      <c r="K18" s="48" t="n">
        <v>46296</v>
      </c>
    </row>
    <row r="19">
      <c r="A19" s="28" t="inlineStr">
        <is>
          <t>Cancellation</t>
        </is>
      </c>
      <c r="B19" s="28" t="inlineStr">
        <is>
          <t>Protection after 60 days (three-year period)</t>
        </is>
      </c>
      <c r="C19" s="28" t="inlineStr">
        <is>
          <t>After a policy has been in effect for 60 days, it may not be cancelled or non-renewed for a three-year period except for specific reasons: nonpayment of premium (15-day grace period), a criminal conviction from an act increasing the hazard, fraud or material misrepresentation, willful or reckless acts or omissions increasing the hazard, physical changes making the property uninsurable, or a Superintendent determination of an Insurance Law violation</t>
        </is>
      </c>
      <c r="D19" s="28" t="inlineStr">
        <is>
          <t>NY Insurance Law, per DFS guide</t>
        </is>
      </c>
      <c r="E19" s="28" t="inlineStr">
        <is>
          <t>NY Dept of Financial Services - Homeowners Insurance: Cancellations and Non-Renewals</t>
        </is>
      </c>
      <c r="F19" s="28" t="inlineStr">
        <is>
          <t>https://www.dfs.ny.gov/consumers/help_for_homeowners/insurance/cancellations_and_nonrenewals</t>
        </is>
      </c>
      <c r="G19" s="48" t="n">
        <v>46296</v>
      </c>
      <c r="H19" s="28" t="inlineStr">
        <is>
          <t>New York</t>
        </is>
      </c>
      <c r="I19" s="28" t="inlineStr">
        <is>
          <t>Regulator-published</t>
        </is>
      </c>
      <c r="J19" s="28" t="inlineStr">
        <is>
          <t>Primary source</t>
        </is>
      </c>
      <c r="K19" s="48" t="n">
        <v>46296</v>
      </c>
    </row>
    <row r="20">
      <c r="A20" s="28" t="inlineStr">
        <is>
          <t>Non-renewal</t>
        </is>
      </c>
      <c r="B20" s="28" t="inlineStr">
        <is>
          <t>Non-renewal notice period</t>
        </is>
      </c>
      <c r="C20" s="28" t="inlineStr">
        <is>
          <t>Any notice of non-renewal must be provided at least 45 days but not more than 60 days prior to the policy's expiration date</t>
        </is>
      </c>
      <c r="D20" s="28" t="inlineStr">
        <is>
          <t>NY Insurance Law, per DFS guide</t>
        </is>
      </c>
      <c r="E20" s="28" t="inlineStr">
        <is>
          <t>NY Dept of Financial Services - Homeowners Insurance: Cancellations and Non-Renewals</t>
        </is>
      </c>
      <c r="F20" s="28" t="inlineStr">
        <is>
          <t>https://www.dfs.ny.gov/consumers/help_for_homeowners/insurance/cancellations_and_nonrenewals</t>
        </is>
      </c>
      <c r="G20" s="48" t="n">
        <v>46296</v>
      </c>
      <c r="H20" s="28" t="inlineStr">
        <is>
          <t>New York</t>
        </is>
      </c>
      <c r="I20" s="28" t="inlineStr">
        <is>
          <t>Regulator-published</t>
        </is>
      </c>
      <c r="J20" s="28" t="inlineStr">
        <is>
          <t>Primary source</t>
        </is>
      </c>
      <c r="K20" s="48" t="n">
        <v>46296</v>
      </c>
    </row>
    <row r="21">
      <c r="A21" t="inlineStr">
        <is>
          <t>Discounts</t>
        </is>
      </c>
      <c r="B21" t="inlineStr">
        <is>
          <t>Required hurricane-mitigation discount</t>
        </is>
      </c>
      <c r="C21" t="inlineStr">
        <is>
          <t>Insurers must provide discounts for hurricane-resistant shutters and hurricane-resistant windows and doors</t>
        </is>
      </c>
      <c r="D21" t="inlineStr">
        <is>
          <t>DFS consumer guide (Ways to Save on Homeowners Insurance)</t>
        </is>
      </c>
      <c r="E21" t="inlineStr">
        <is>
          <t>NY Dept of Financial Services - Ways to Save on Homeowners Insurance</t>
        </is>
      </c>
      <c r="F21" t="inlineStr">
        <is>
          <t>https://www.dfs.ny.gov/system/files/documents/2026/02/Ways-to-Save-Homeowners-Insurance.pdf</t>
        </is>
      </c>
      <c r="G21" s="48" t="n">
        <v>46296</v>
      </c>
      <c r="H21" t="inlineStr">
        <is>
          <t>New York</t>
        </is>
      </c>
      <c r="I21" t="inlineStr">
        <is>
          <t>Regulator-published</t>
        </is>
      </c>
      <c r="J21" t="inlineStr">
        <is>
          <t>Primary source</t>
        </is>
      </c>
      <c r="K21" s="48" t="n">
        <v>46296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2026-09-30T09:47:52Z</dcterms:created>
  <dcterms:modified xsi:type="dcterms:W3CDTF">2026-10-01T04:38:42Z</dcterms:modified>
  <cp:revision>0</cp:revision>
</cp:coreProperties>
</file>