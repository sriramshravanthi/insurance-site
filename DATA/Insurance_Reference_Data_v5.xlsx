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12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CA Auto Verified" sheetId="2" state="visible" r:id="rId4"/>
    <sheet name="CA Home Verified" sheetId="3" state="visible" r:id="rId5"/>
    <sheet name="TX Auto Verified" sheetId="4" state="visible" r:id="rId6"/>
    <sheet name="FL Auto Verified" sheetId="5" state="visible" r:id="rId7"/>
    <sheet name="NY Auto Verified" sheetId="6" state="visible" r:id="rId8"/>
    <sheet name="TX Home Verified" sheetId="7" state="visible" r:id="rId9"/>
    <sheet name="FL Home Verified" sheetId="8" state="visible" r:id="rId10"/>
    <sheet name="State Min Limits" sheetId="9" state="visible" r:id="rId11"/>
    <sheet name="Rating Factors" sheetId="10" state="visible" r:id="rId12"/>
    <sheet name="Discounts" sheetId="11" state="visible" r:id="rId13"/>
    <sheet name="Telematics" sheetId="12" state="visible" r:id="rId14"/>
    <sheet name="Coverage Details" sheetId="13" state="visible" r:id="rId15"/>
    <sheet name="Price Benchmarks" sheetId="14" state="visible" r:id="rId16"/>
    <sheet name="Regulatory Watch" sheetId="15" state="visible" r:id="rId17"/>
    <sheet name="Quote Source Options" sheetId="16" state="visible" r:id="rId18"/>
    <sheet name="Legal Review Checklist" sheetId="17" state="visible" r:id="rId19"/>
    <sheet name="Refresh Schedule" sheetId="18" state="visible" r:id="rId20"/>
    <sheet name="Conflicts Log" sheetId="19" state="visible" r:id="rId21"/>
    <sheet name="Sources" sheetId="20" state="visible" r:id="rId22"/>
  </sheets>
  <definedNames>
    <definedName function="false" hidden="true" localSheetId="1" name="_xlnm._FilterDatabase" vbProcedure="false">'CA Auto Verified'!$A$1:$L$32</definedName>
    <definedName function="false" hidden="true" localSheetId="2" name="_xlnm._FilterDatabase" vbProcedure="false">'CA Home Verified'!$A$1:$L$45</definedName>
    <definedName function="false" hidden="true" localSheetId="18" name="_xlnm._FilterDatabase" vbProcedure="false">'Conflicts Log'!$A$1:$G$21</definedName>
    <definedName function="false" hidden="true" localSheetId="12" name="_xlnm._FilterDatabase" vbProcedure="false">'Coverage Details'!$A$1:$L$24</definedName>
    <definedName function="false" hidden="true" localSheetId="10" name="_xlnm._FilterDatabase" vbProcedure="false">Discounts!$A$1:$M$31</definedName>
    <definedName function="false" hidden="true" localSheetId="4" name="_xlnm._FilterDatabase" vbProcedure="false">'FL Auto Verified'!$A$1:$L$14</definedName>
    <definedName function="false" hidden="true" localSheetId="7" name="_xlnm._FilterDatabase" vbProcedure="false">'FL Home Verified'!$A$1:$L$13</definedName>
    <definedName function="false" hidden="true" localSheetId="16" name="_xlnm._FilterDatabase" vbProcedure="false">'Legal Review Checklist'!$A$1:$F$21</definedName>
    <definedName function="false" hidden="true" localSheetId="5" name="_xlnm._FilterDatabase" vbProcedure="false">'NY Auto Verified'!$A$1:$L$23</definedName>
    <definedName function="false" hidden="true" localSheetId="13" name="_xlnm._FilterDatabase" vbProcedure="false">'Price Benchmarks'!$A$1:$M$14</definedName>
    <definedName function="false" hidden="true" localSheetId="9" name="_xlnm._FilterDatabase" vbProcedure="false">'Rating Factors'!$A$1:$N$14</definedName>
    <definedName function="false" hidden="true" localSheetId="14" name="_xlnm._FilterDatabase" vbProcedure="false">'Regulatory Watch'!$A$1:$L$15</definedName>
    <definedName function="false" hidden="true" localSheetId="19" name="_xlnm._FilterDatabase" vbProcedure="false">Sources!$A$1:$E$95</definedName>
    <definedName function="false" hidden="true" localSheetId="8" name="_xlnm._FilterDatabase" vbProcedure="false">'State Min Limits'!$A$1:$P$52</definedName>
    <definedName function="false" hidden="true" localSheetId="11" name="_xlnm._FilterDatabase" vbProcedure="false">Telematics!$A$1:$O$11</definedName>
    <definedName function="false" hidden="true" localSheetId="3" name="_xlnm._FilterDatabase" vbProcedure="false">'TX Auto Verified'!$A$1:$L$19</definedName>
    <definedName function="false" hidden="true" localSheetId="6" name="_xlnm._FilterDatabase" vbProcedure="false">'TX Home Verified'!$A$1:$L$17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<sst xmlns="http://schemas.openxmlformats.org/spreadsheetml/2006/main" count="3864" uniqueCount="1594">
  <si>
    <t xml:space="preserve">Insurance Comparison Platform - Reference Data Workbook</t>
  </si>
  <si>
    <t xml:space="preserve">Purpose</t>
  </si>
  <si>
    <t xml:space="preserve">Structured reference data from the September 30, 2026 research (California auto and home; Texas, Florida and New York auto verified from primary sources; home-credit rules still open) for the U.S. auto and home insurance education/comparison project.</t>
  </si>
  <si>
    <t xml:space="preserve">As-of date</t>
  </si>
  <si>
    <t xml:space="preserve">Important</t>
  </si>
  <si>
    <t xml:space="preserve">This is reference data, not insurer quotes or advice. Most entries come from secondary sources and must be checked against state DOI, statute or carrier filings before use on a live site.</t>
  </si>
  <si>
    <t xml:space="preserve">How to edit</t>
  </si>
  <si>
    <t xml:space="preserve">Edit any cell in the data tabs. Add new rows at the bottom, keep the standard columns filled, and set Verification Status from the dropdown.</t>
  </si>
  <si>
    <t xml:space="preserve">Standard columns</t>
  </si>
  <si>
    <t xml:space="preserve">Every data tab ends with: Source, Source URL, Date Collected, Geographic Scope, Data Type, Verification Status, Last Updated, Notes.</t>
  </si>
  <si>
    <t xml:space="preserve">Verification Status legend</t>
  </si>
  <si>
    <t xml:space="preserve">Primary source</t>
  </si>
  <si>
    <t xml:space="preserve">From a regulator, government body or the carrier's own published terms. Still confirm it is current.</t>
  </si>
  <si>
    <t xml:space="preserve">Secondary - unverified</t>
  </si>
  <si>
    <t xml:space="preserve">From a comparison site, publisher or blog. Treat as a lead to verify, not a fact to publish.</t>
  </si>
  <si>
    <t xml:space="preserve">Conflicting</t>
  </si>
  <si>
    <t xml:space="preserve">Sources disagree. See Conflicts Log.</t>
  </si>
  <si>
    <t xml:space="preserve">Not researched</t>
  </si>
  <si>
    <t xml:space="preserve">Placeholder row; nothing researched yet.</t>
  </si>
  <si>
    <t xml:space="preserve">Status count by tab (live formulas)</t>
  </si>
  <si>
    <t xml:space="preserve">Tab</t>
  </si>
  <si>
    <t xml:space="preserve">Total rows</t>
  </si>
  <si>
    <t xml:space="preserve">State Min Limits</t>
  </si>
  <si>
    <t xml:space="preserve">Rating Factors</t>
  </si>
  <si>
    <t xml:space="preserve">Discounts</t>
  </si>
  <si>
    <t xml:space="preserve">Telematics</t>
  </si>
  <si>
    <t xml:space="preserve">Coverage Details</t>
  </si>
  <si>
    <t xml:space="preserve">Price Benchmarks</t>
  </si>
  <si>
    <t xml:space="preserve">Regulatory Watch</t>
  </si>
  <si>
    <t xml:space="preserve">CA Auto Verified</t>
  </si>
  <si>
    <t xml:space="preserve">CA Home Verified</t>
  </si>
  <si>
    <t xml:space="preserve">TX Auto Verified</t>
  </si>
  <si>
    <t xml:space="preserve">FL Auto Verified</t>
  </si>
  <si>
    <t xml:space="preserve">NY Auto Verified</t>
  </si>
  <si>
    <t xml:space="preserve">TX Home Verified</t>
  </si>
  <si>
    <t xml:space="preserve">FL Home Verified</t>
  </si>
  <si>
    <t xml:space="preserve">All tabs</t>
  </si>
  <si>
    <t xml:space="preserve">Tabs</t>
  </si>
  <si>
    <t xml:space="preserve">Texas home facts from TDI, TWIA and secondary sources.</t>
  </si>
  <si>
    <t xml:space="preserve">Florida home facts: hurricane deductibles, Citizens and flood rules.</t>
  </si>
  <si>
    <t xml:space="preserve">Texas auto facts from the TDI guide.</t>
  </si>
  <si>
    <t xml:space="preserve">Florida auto facts from FLHSMV and Florida Statutes.</t>
  </si>
  <si>
    <t xml:space="preserve">New York auto facts from the DFS consumer guide.</t>
  </si>
  <si>
    <t xml:space="preserve">California home insurance facts traced to CDI, CEA and FAIR Plan sources and CDI press releases.</t>
  </si>
  <si>
    <t xml:space="preserve">California auto facts traced to primary sources (CDI, DMV, statutes and regulations).</t>
  </si>
  <si>
    <t xml:space="preserve">Minimum auto liability limits by state (50 states + DC); most rows still to research.</t>
  </si>
  <si>
    <t xml:space="preserve">Credit, gender and age rules by state for states researched.</t>
  </si>
  <si>
    <t xml:space="preserve">Discount availability by state and carrier.</t>
  </si>
  <si>
    <t xml:space="preserve">Usage-based programs by carrier.</t>
  </si>
  <si>
    <t xml:space="preserve">Flood, earthquake, umbrella and other coverage facts.</t>
  </si>
  <si>
    <t xml:space="preserve">Published average premiums with spread formulas.</t>
  </si>
  <si>
    <t xml:space="preserve">Laws and rules to monitor.</t>
  </si>
  <si>
    <t xml:space="preserve">Quote Source Options</t>
  </si>
  <si>
    <t xml:space="preserve">Ways to get real quotes and what each implies.</t>
  </si>
  <si>
    <t xml:space="preserve">Legal Review Checklist</t>
  </si>
  <si>
    <t xml:space="preserve">Questions to bring to insurance-regulatory counsel.</t>
  </si>
  <si>
    <t xml:space="preserve">Refresh Schedule</t>
  </si>
  <si>
    <t xml:space="preserve">Owners, review intervals and overdue checks (formulas).</t>
  </si>
  <si>
    <t xml:space="preserve">Conflicts Log</t>
  </si>
  <si>
    <t xml:space="preserve">Where sources disagree and what to verify.</t>
  </si>
  <si>
    <t xml:space="preserve">Sources</t>
  </si>
  <si>
    <t xml:space="preserve">Every source used, with type and reliability note.</t>
  </si>
  <si>
    <t xml:space="preserve">Topic</t>
  </si>
  <si>
    <t xml:space="preserve">Fact</t>
  </si>
  <si>
    <t xml:space="preserve">Value</t>
  </si>
  <si>
    <t xml:space="preserve">Legal Citation</t>
  </si>
  <si>
    <t xml:space="preserve">Source</t>
  </si>
  <si>
    <t xml:space="preserve">Source URL</t>
  </si>
  <si>
    <t xml:space="preserve">Date Collected</t>
  </si>
  <si>
    <t xml:space="preserve">Geographic Scope</t>
  </si>
  <si>
    <t xml:space="preserve">Data Type</t>
  </si>
  <si>
    <t xml:space="preserve">Verification Status</t>
  </si>
  <si>
    <t xml:space="preserve">Last Updated</t>
  </si>
  <si>
    <t xml:space="preserve">Notes</t>
  </si>
  <si>
    <t xml:space="preserve">Minimum liability</t>
  </si>
  <si>
    <t xml:space="preserve">Bodily injury per person</t>
  </si>
  <si>
    <t xml:space="preserve">$30,000</t>
  </si>
  <si>
    <t xml:space="preserve">Ins. Code 11580.1(b) (per DMV)</t>
  </si>
  <si>
    <t xml:space="preserve">CA DMV - Auto Insurance Requirements (modified Jul 10, 2025)</t>
  </si>
  <si>
    <t xml:space="preserve">https://www.dmv.ca.gov/portal/vehicle-registration/insurance-requirements/</t>
  </si>
  <si>
    <t xml:space="preserve">California</t>
  </si>
  <si>
    <t xml:space="preserve">Regulator-published</t>
  </si>
  <si>
    <t xml:space="preserve">CDI Form 101 states the same limits.</t>
  </si>
  <si>
    <t xml:space="preserve">Bodily injury per accident</t>
  </si>
  <si>
    <t xml:space="preserve">$60,000</t>
  </si>
  <si>
    <t xml:space="preserve">Property damage</t>
  </si>
  <si>
    <t xml:space="preserve">$15,000</t>
  </si>
  <si>
    <t xml:space="preserve">Timing of increase</t>
  </si>
  <si>
    <t xml:space="preserve">Increased limits begin 2025 under SB 1107</t>
  </si>
  <si>
    <t xml:space="preserve">SB 1107 (2022)</t>
  </si>
  <si>
    <t xml:space="preserve">CA Dept of Insurance - Low Cost Auto consumer alert (Jul 23, 2024)</t>
  </si>
  <si>
    <t xml:space="preserve">https://www.insurance.ca.gov/0400-news/0102-alerts/2024/California-s-Low-Cost-Auto-Insurance.cfm</t>
  </si>
  <si>
    <t xml:space="preserve">CDI alert says liability limits increase beginning 2025.</t>
  </si>
  <si>
    <t xml:space="preserve">Existing policies adjust at renewal</t>
  </si>
  <si>
    <t xml:space="preserve">Policies renew at the new limits</t>
  </si>
  <si>
    <t xml:space="preserve">Per law-firm summary of CDI position</t>
  </si>
  <si>
    <t xml:space="preserve">CarInsurance.com - Minimum liability by state (Apr 2026)</t>
  </si>
  <si>
    <t xml:space="preserve">https://www.carinsurance.com/Articles/minimum-liability-car-insurance-requirements-by-state.aspx</t>
  </si>
  <si>
    <t xml:space="preserve">Reference data (secondary source)</t>
  </si>
  <si>
    <t xml:space="preserve">Verify with CDI.</t>
  </si>
  <si>
    <t xml:space="preserve">Scheduled second increase</t>
  </si>
  <si>
    <t xml:space="preserve">On Jan 1, 2035 minimums rise by $20,000 (per person), $40,000 (per accident) and $10,000 (property damage): 50/100/25</t>
  </si>
  <si>
    <t xml:space="preserve">SB 1107 (2022) text</t>
  </si>
  <si>
    <t xml:space="preserve">SB 1107 (2021-22) enrolled bill text - Vehicles: insurance (leginfo)</t>
  </si>
  <si>
    <t xml:space="preserve">https://leginfo.legislature.ca.gov/faces/billNavClient.xhtml?bill_id=202120220SB1107</t>
  </si>
  <si>
    <t xml:space="preserve">Statute / regulation text</t>
  </si>
  <si>
    <t xml:space="preserve">Confirmed in the bill text on leginfo. Agency and law-firm sites report the same 50/100/25.</t>
  </si>
  <si>
    <t xml:space="preserve">Financial responsibility</t>
  </si>
  <si>
    <t xml:space="preserve">Alternatives to insurance (DMV)</t>
  </si>
  <si>
    <t xml:space="preserve">Cash deposit $75,000; surety bond $75,000; DMV self-insurance certificate</t>
  </si>
  <si>
    <t xml:space="preserve">DMV page (Jul 2025); SB 1107</t>
  </si>
  <si>
    <t xml:space="preserve">Resolved: SB 1107 raised the deposit to $75,000 (and by $50,000 more on Jan 1, 2035). CDI Form 101's $35,000 figure is out of date.</t>
  </si>
  <si>
    <t xml:space="preserve">Collision/comprehensive</t>
  </si>
  <si>
    <t xml:space="preserve">Do not satisfy financial responsibility</t>
  </si>
  <si>
    <t xml:space="preserve">DMV page</t>
  </si>
  <si>
    <t xml:space="preserve">Liability is the only required coverage.</t>
  </si>
  <si>
    <t xml:space="preserve">When proof must be shown</t>
  </si>
  <si>
    <t xml:space="preserve">On request by law enforcement, at registration renewal, after a collision</t>
  </si>
  <si>
    <t xml:space="preserve">Registration is suspended if DMV does not receive proof.</t>
  </si>
  <si>
    <t xml:space="preserve">Insurers report to DMV</t>
  </si>
  <si>
    <t xml:space="preserve">Electronic reporting required</t>
  </si>
  <si>
    <t xml:space="preserve">Veh. Code 16058 (per DMV)</t>
  </si>
  <si>
    <t xml:space="preserve">Other coverages</t>
  </si>
  <si>
    <t xml:space="preserve">Uninsured/underinsured motorist</t>
  </si>
  <si>
    <t xml:space="preserve">Must be offered; can be declined by signed waiver; UMBI limits equal liability limits</t>
  </si>
  <si>
    <t xml:space="preserve">CDI Form 101</t>
  </si>
  <si>
    <t xml:space="preserve">CA Dept of Insurance - Introduction to Auto Insurance (Form 101, rev. Feb 5, 2025)</t>
  </si>
  <si>
    <t xml:space="preserve">https://www.insurance.ca.gov/01-consumers/105-type/95-guides/01-auto/auto101.cfm</t>
  </si>
  <si>
    <t xml:space="preserve">UM property damage limit</t>
  </si>
  <si>
    <t xml:space="preserve">$3,500 (only if uninsured driver identified)</t>
  </si>
  <si>
    <t xml:space="preserve">Medical payments</t>
  </si>
  <si>
    <t xml:space="preserve">Optional; minimum limit you can buy is $1,000 per person</t>
  </si>
  <si>
    <t xml:space="preserve">Fault and claims</t>
  </si>
  <si>
    <t xml:space="preserve">Fault rule</t>
  </si>
  <si>
    <t xml:space="preserve">Comparative negligence</t>
  </si>
  <si>
    <t xml:space="preserve">Surcharge after an accident</t>
  </si>
  <si>
    <t xml:space="preserve">None if not at fault; can apply at renewal if at least 51% at fault</t>
  </si>
  <si>
    <t xml:space="preserve">Reasons a policy can be cancelled or non-renewed</t>
  </si>
  <si>
    <t xml:space="preserve">Fraud/material misrepresentation; non-payment; substantial increase in hazard</t>
  </si>
  <si>
    <t xml:space="preserve">Rating factors</t>
  </si>
  <si>
    <t xml:space="preserve">Mandatory factors (in order of importance)</t>
  </si>
  <si>
    <t xml:space="preserve">1) driving safety record 2) annual miles 3) years of driving experience</t>
  </si>
  <si>
    <t xml:space="preserve">Ins. Code 1861.02(a); 10 CCR 2632.5(c)</t>
  </si>
  <si>
    <t xml:space="preserve">10 CCR section 2632.5 - Rating Factors (text via Cornell LII)</t>
  </si>
  <si>
    <t xml:space="preserve">https://www.law.cornell.edu/regulations/california/10-CCR-2632.5</t>
  </si>
  <si>
    <t xml:space="preserve">Factors after the third must be on the Commissioner's approved list.</t>
  </si>
  <si>
    <t xml:space="preserve">Optional factors currently listed</t>
  </si>
  <si>
    <t xml:space="preserve">Vehicle type; performance; type of use; percent use; multi-vehicle household; academic standing; driver training; vehicle characteristics; marital status; persistency; non-smoker; secondary driver characteristics; multi-policy; relative claims frequency; relative claims severity</t>
  </si>
  <si>
    <t xml:space="preserve">10 CCR 2632.5(d)</t>
  </si>
  <si>
    <t xml:space="preserve">Advisory Notice 2005-02 counted 16 optional factors; one was repealed effective Jan 1, 2019 (reported as gender). Confirm.</t>
  </si>
  <si>
    <t xml:space="preserve">Location</t>
  </si>
  <si>
    <t xml:space="preserve">Only through claims frequency and severity bands, each max 20 categories, based on ZIP code or census tract where vehicle is garaged</t>
  </si>
  <si>
    <t xml:space="preserve">10 CCR 2632.5(d)(14)-(15)</t>
  </si>
  <si>
    <t xml:space="preserve">Credit history, gender, age</t>
  </si>
  <si>
    <t xml:space="preserve">Not on the mandatory or optional lists</t>
  </si>
  <si>
    <t xml:space="preserve">10 CCR 2632.5</t>
  </si>
  <si>
    <t xml:space="preserve">Derived from the regulation text: age matters only via years licensed. Confirm with counsel before publishing as a legal statement.</t>
  </si>
  <si>
    <t xml:space="preserve">Driving record verification</t>
  </si>
  <si>
    <t xml:space="preserve">Insurer must verify the motor vehicle report at application and at least every 36 months; DUI convictions treated as highest surchargeable violation</t>
  </si>
  <si>
    <t xml:space="preserve">10 CCR 2632.5(c)(1)</t>
  </si>
  <si>
    <t xml:space="preserve">Mileage and telematics</t>
  </si>
  <si>
    <t xml:space="preserve">How mileage is set</t>
  </si>
  <si>
    <t xml:space="preserve">Estimated annual miles, with insurer allowed to request supporting information; verified-actual-mileage programs also allowed</t>
  </si>
  <si>
    <t xml:space="preserve">10 CCR 2632.5(c)(2)</t>
  </si>
  <si>
    <t xml:space="preserve">Device restrictions</t>
  </si>
  <si>
    <t xml:space="preserve">Insurer may use a device only to collect actual miles driven and may not collect or store vehicle location (exceptions for roadside, theft, map, travel services)</t>
  </si>
  <si>
    <t xml:space="preserve">10 CCR 2632.5(c)(2)(F)(i)5</t>
  </si>
  <si>
    <t xml:space="preserve">This may explain why behavior-based programs like Snapshot and Drivewise are not offered in CA. That link is my inference.</t>
  </si>
  <si>
    <t xml:space="preserve">Good driver discount</t>
  </si>
  <si>
    <t xml:space="preserve">Rate at least 20% lower than a comparable non-good driver</t>
  </si>
  <si>
    <t xml:space="preserve">Ins. Code 1861.02; 10 CCR 2632.12; CDI Form 101</t>
  </si>
  <si>
    <t xml:space="preserve">10 CCR section 2632.12 - Good Driver Discount (text via Cornell LII)</t>
  </si>
  <si>
    <t xml:space="preserve">https://www.law.cornell.edu/regulations/california/10-CCR-2632.12</t>
  </si>
  <si>
    <t xml:space="preserve">See statute row below for eligibility.</t>
  </si>
  <si>
    <t xml:space="preserve">Good driver eligibility (statute)</t>
  </si>
  <si>
    <t xml:space="preserve">Licensed for the previous three years, and in that period: no more than one violation point (an at-fault property-damage accident counts as one point), no more than one non-confidential dismissal that would have carried more than one point, and not principally at fault in an accident causing injury or death</t>
  </si>
  <si>
    <t xml:space="preserve">Ins. Code 1861.025(a)-(b)</t>
  </si>
  <si>
    <t xml:space="preserve">CA Insurance Code section 1861.025 - Good Driver Discount eligibility (Justia)</t>
  </si>
  <si>
    <t xml:space="preserve">https://law.justia.com/codes/california/code-ins/division-1/part-2/chapter-9/article-10/section-1861-025/</t>
  </si>
  <si>
    <t xml:space="preserve">CDI's consumer page mentions only the point limit. Further criteria in later subdivisions were not visible in the text I read; have counsel confirm before publishing eligibility rules.</t>
  </si>
  <si>
    <t xml:space="preserve">Six-month vs annual policy</t>
  </si>
  <si>
    <t xml:space="preserve">Six-month premium must be one-half of the annual premium; no paid-in-full discount</t>
  </si>
  <si>
    <t xml:space="preserve">CDI Advisory Notice 2005-02</t>
  </si>
  <si>
    <t xml:space="preserve">CDI Rate Regulation Advisory Notice 2005-02 (May 2, 2005)</t>
  </si>
  <si>
    <t xml:space="preserve">https://www.insurance.ca.gov/0250-insurers/0300-insurers/0200-bulletins/bulletin-notices-commiss-opinion/upload/Advisory-Notice-2005-02.pdf</t>
  </si>
  <si>
    <t xml:space="preserve">Dated May 2, 2005; confirm not superseded. Matters for your policy-term comparison feature.</t>
  </si>
  <si>
    <t xml:space="preserve">Mature driver (55+) with DMV-approved course</t>
  </si>
  <si>
    <t xml:space="preserve">Every admitted insurer must provide a reduction; insurer sets the percentage</t>
  </si>
  <si>
    <t xml:space="preserve">Ins. Code 11628.3; 13 CCR 346.00</t>
  </si>
  <si>
    <t xml:space="preserve">CA Insurance Code section 11628.3 - Mature driver (text via FindLaw)</t>
  </si>
  <si>
    <t xml:space="preserve">https://codes.findlaw.com/ca/insurance-code/ins-sect-11628-3/</t>
  </si>
  <si>
    <t xml:space="preserve">FindLaw may lag the latest law.</t>
  </si>
  <si>
    <t xml:space="preserve">Programs</t>
  </si>
  <si>
    <t xml:space="preserve">Low Cost Auto (CLCA)</t>
  </si>
  <si>
    <t xml:space="preserve">Limits 10/20/3; income at or below 250% of federal poverty level; vehicle worth $25,000 or less; age 16+</t>
  </si>
  <si>
    <t xml:space="preserve">CLCA limits unchanged by SB 1107 (CDI alert).</t>
  </si>
  <si>
    <t xml:space="preserve">High-risk drivers (CAARP)</t>
  </si>
  <si>
    <t xml:space="preserve">Assigned to an insurer; all licensed insurers must accept; same premiums across companies</t>
  </si>
  <si>
    <t xml:space="preserve">Agents and brokers</t>
  </si>
  <si>
    <t xml:space="preserve">Licensing and pay</t>
  </si>
  <si>
    <t xml:space="preserve">All agents and brokers must be state licensed; agents paid by insurers; brokers may charge a broker fee</t>
  </si>
  <si>
    <t xml:space="preserve">Relevant to your referral and lead-generation model.</t>
  </si>
  <si>
    <t xml:space="preserve">Quotes</t>
  </si>
  <si>
    <t xml:space="preserve">What CDI calls a quote</t>
  </si>
  <si>
    <t xml:space="preserve">An estimate of premium; get quotes in writing and compare</t>
  </si>
  <si>
    <t xml:space="preserve">Supports your 'estimate vs actual quote' labels.</t>
  </si>
  <si>
    <t xml:space="preserve">Requirement</t>
  </si>
  <si>
    <t xml:space="preserve">Is homeowners insurance required?</t>
  </si>
  <si>
    <t xml:space="preserve">No. Lenders require enough coverage; lenders require flood insurance in federally mapped high-risk flood zones</t>
  </si>
  <si>
    <t xml:space="preserve">CDI Homeowners flyer (Dec 2024)</t>
  </si>
  <si>
    <t xml:space="preserve">CA Dept of Insurance - Homeowners Insurance flyer (Dec 2024)</t>
  </si>
  <si>
    <t xml:space="preserve">https://www.insurance.ca.gov/01-consumers/105-type/95-guides/upload/Homeowners-Insurance-Updated-121924.pdf</t>
  </si>
  <si>
    <t xml:space="preserve">Coverage</t>
  </si>
  <si>
    <t xml:space="preserve">Coverage A - Dwelling</t>
  </si>
  <si>
    <t xml:space="preserve">Protects the house and attached structures from covered perils</t>
  </si>
  <si>
    <t xml:space="preserve">CDI Form 401</t>
  </si>
  <si>
    <t xml:space="preserve">CA Dept of Insurance - Residential Insurance: Homeowners and Renters (Form 401, rev. Jan 2026)</t>
  </si>
  <si>
    <t xml:space="preserve">https://www.insurance.ca.gov/01-consumers/105-type/95-guides/03-res/res-ins-guide.cfm</t>
  </si>
  <si>
    <t xml:space="preserve">Coverage B - Other structures</t>
  </si>
  <si>
    <t xml:space="preserve">Normally limited to 10% of Coverage A; more available for extra premium</t>
  </si>
  <si>
    <t xml:space="preserve">Coverage C - Personal property</t>
  </si>
  <si>
    <t xml:space="preserve">Contents limit generally about 50% of dwelling (a guideline only); special limits on jewelry, antiques, furs, collectibles, fine art, firearms, silverware, money</t>
  </si>
  <si>
    <t xml:space="preserve">Special limits sit inside the overall contents limit, not on top of it; scheduling items separately is the fix.</t>
  </si>
  <si>
    <t xml:space="preserve">Coverage D - Loss of use</t>
  </si>
  <si>
    <t xml:space="preserve">Normally limited to 20% of Coverage A (renters: 20% of C; condo: 40% of C)</t>
  </si>
  <si>
    <t xml:space="preserve">Coverage E and F</t>
  </si>
  <si>
    <t xml:space="preserve">E: personal liability. F: medical payments to others (not for household members)</t>
  </si>
  <si>
    <t xml:space="preserve">Perils generally NOT covered</t>
  </si>
  <si>
    <t xml:space="preserve">Flood, earthquake, earth movement, termites and pests, seepage/leaks, vacancy of 60+ days, mold, wear and tear, war, neglect, nuclear hazard</t>
  </si>
  <si>
    <t xml:space="preserve">Read the actual policy exclusions.</t>
  </si>
  <si>
    <t xml:space="preserve">Limits</t>
  </si>
  <si>
    <t xml:space="preserve">How to set the dwelling limit</t>
  </si>
  <si>
    <t xml:space="preserve">Should equal the cost to rebuild, not purchase price or market value; land is not covered</t>
  </si>
  <si>
    <t xml:space="preserve">Replacement cost estimates</t>
  </si>
  <si>
    <t xml:space="preserve">If an insurer or broker gives a replacement cost estimate, a copy must be given to the applicant or insured who buys the coverage</t>
  </si>
  <si>
    <t xml:space="preserve">Relevant if your site ever shows a rebuild-cost estimate.</t>
  </si>
  <si>
    <t xml:space="preserve">'Guaranteed replacement cost' label</t>
  </si>
  <si>
    <t xml:space="preserve">May be used only if the policy pays to fully rebuild regardless of the limit; other forms pay the limit plus a percentage; SB 1855 renamed 'Extended' to 'Limited Replacement Cost' in disclosures</t>
  </si>
  <si>
    <t xml:space="preserve">Building code upgrade (ordinance or law)</t>
  </si>
  <si>
    <t xml:space="preserve">Some policies lack it; available by endorsement</t>
  </si>
  <si>
    <t xml:space="preserve">Actual cash value (ACV)</t>
  </si>
  <si>
    <t xml:space="preserve">Total loss: lesser of policy limit or fair market value. Partial loss: repair cost minus depreciation, or the limit</t>
  </si>
  <si>
    <t xml:space="preserve">CDI Form 401 glossary</t>
  </si>
  <si>
    <t xml:space="preserve">Discounts named by CDI</t>
  </si>
  <si>
    <t xml:space="preserve">Burglar alarms and fire protection devices such as smoke detectors, alarms and sprinklers; higher deductible can significantly cut premium</t>
  </si>
  <si>
    <t xml:space="preserve">Safer from Wildfires</t>
  </si>
  <si>
    <t xml:space="preserve">Every action under the framework qualifies for an insurance discount (structure, surroundings, community)</t>
  </si>
  <si>
    <t xml:space="preserve">10 CCR 2644.9 (CDI page)</t>
  </si>
  <si>
    <t xml:space="preserve">CA Dept of Insurance - Safer from Wildfires</t>
  </si>
  <si>
    <t xml:space="preserve">https://www.insurance.ca.gov/01-consumers/200-wrr/Safer-from-Wildfires.cfm</t>
  </si>
  <si>
    <t xml:space="preserve">Secondary sites often cite this as 'Insurance Code 2644.9'; it is a Title 10 regulation.</t>
  </si>
  <si>
    <t xml:space="preserve">Disclosure and appeal of wildfire risk score</t>
  </si>
  <si>
    <t xml:space="preserve">Insurers must disclose available discounts and the policyholder's risk score, and allow an appeal</t>
  </si>
  <si>
    <t xml:space="preserve">10 CCR 2644.9 (per research paper)</t>
  </si>
  <si>
    <t xml:space="preserve">Resources for the Future - Insurance discounts for wildfire mitigation (WP 25-30)</t>
  </si>
  <si>
    <t xml:space="preserve">https://media.rff.org/documents/WP_25-30.pdf</t>
  </si>
  <si>
    <t xml:space="preserve">Confirm in the regulation text.</t>
  </si>
  <si>
    <t xml:space="preserve">Rates</t>
  </si>
  <si>
    <t xml:space="preserve">Who approves rates</t>
  </si>
  <si>
    <t xml:space="preserve">Each insurer calculates its own rates, subject to CDI approval</t>
  </si>
  <si>
    <t xml:space="preserve">CDI residential one-pager</t>
  </si>
  <si>
    <t xml:space="preserve">Snippet of the one-pager was truncated; confirm wording.</t>
  </si>
  <si>
    <t xml:space="preserve">Rights</t>
  </si>
  <si>
    <t xml:space="preserve">Cancellation</t>
  </si>
  <si>
    <t xml:space="preserve">After 60 days, only for nonpayment, fraud, material misrepresentation, or physical changes that increase hazard; 20 days' notice (10 for nonpayment or fraud)</t>
  </si>
  <si>
    <t xml:space="preserve">Nonrenewal</t>
  </si>
  <si>
    <t xml:space="preserve">Written notice at least 75 days before expiration with the reason; if late, the existing policy stays in effect 75 days from notice</t>
  </si>
  <si>
    <t xml:space="preserve">Premium verification</t>
  </si>
  <si>
    <t xml:space="preserve">Insurer has 60 days to verify rating and underwriting of a new policy and notify of errors</t>
  </si>
  <si>
    <t xml:space="preserve">Time to rebuild (AB 2199)</t>
  </si>
  <si>
    <t xml:space="preserve">At least 12 months (plus 6-month extensions for good cause); 24 months after a declared emergency; may rebuild elsewhere</t>
  </si>
  <si>
    <t xml:space="preserve">Total loss protections (AB 2962)</t>
  </si>
  <si>
    <t xml:space="preserve">Insurer must consult at renewal; cannot cancel mid-rebuild except for fraud; must renew at least once after a declared-disaster total loss not caused by negligence</t>
  </si>
  <si>
    <t xml:space="preserve">Wildfire non-renewal moratorium</t>
  </si>
  <si>
    <t xml:space="preserve">Bars non-renewal of residential policies for one year after a declared wildfire (SB 824); SB 547 extends this to commercial policies from Jan 1, 2026</t>
  </si>
  <si>
    <t xml:space="preserve">CDI press release Dec 30, 2025</t>
  </si>
  <si>
    <t xml:space="preserve">CDI press release - New laws take effect January 1, 2026 (Dec 30, 2025)</t>
  </si>
  <si>
    <t xml:space="preserve">https://www.insurance.ca.gov/0400-news/0100-press-releases/2025/release079-2025.cfm</t>
  </si>
  <si>
    <t xml:space="preserve">Zones covered are set by CDI; check the current list.</t>
  </si>
  <si>
    <t xml:space="preserve">Contents payout without inventory (SB 495)</t>
  </si>
  <si>
    <t xml:space="preserve">Wildfire total loss: 60% of contents limit, capped at $350,000, without a detailed list; at least 100 days for proof of loss after a declared emergency</t>
  </si>
  <si>
    <t xml:space="preserve">CDI press release Dec 30, 2025 (effective Jan 1, 2026)</t>
  </si>
  <si>
    <t xml:space="preserve">New laws (2026)</t>
  </si>
  <si>
    <t xml:space="preserve">AB 1, AB 226, AB 888, SB 429</t>
  </si>
  <si>
    <t xml:space="preserve">AB 1: regular review of Safer from Wildfires. AB 226: FAIR Plan may use catastrophe bonds and credit lines if authorized. AB 888: grants for fire-safe roofs and Zone Zero. SB 429: grants for a public wildfire model</t>
  </si>
  <si>
    <t xml:space="preserve">Earthquake</t>
  </si>
  <si>
    <t xml:space="preserve">Must insurers offer it?</t>
  </si>
  <si>
    <t xml:space="preserve">Yes. No residential property policy may be issued or renewed unless the insured is offered earthquake coverage; it may be written by the insurer, another insurer, or the CEA</t>
  </si>
  <si>
    <t xml:space="preserve">Ins. Code 10081; CDI Form 401</t>
  </si>
  <si>
    <t xml:space="preserve">CA Dept of Insurance - Earthquake Insurance</t>
  </si>
  <si>
    <t xml:space="preserve">https://www.insurance.ca.gov/01-consumers/105-type/95-guides/03-res/eq-ins.cfm</t>
  </si>
  <si>
    <t xml:space="preserve">Re-offer schedule</t>
  </si>
  <si>
    <t xml:space="preserve">If declined, the insurer must re-offer earthquake coverage every other year at continuation, renewal or reinstatement; the offer may be made before, at, or within 60 days after issuance or renewal</t>
  </si>
  <si>
    <t xml:space="preserve">Ins. Code 10083(a)-(b)</t>
  </si>
  <si>
    <t xml:space="preserve">CA Insurance Code section 10083 - Earthquake offer timing (Justia)</t>
  </si>
  <si>
    <t xml:space="preserve">https://law.justia.com/codes/california/code-ins/division-2/part-1/chapter-8-5/section-10083/</t>
  </si>
  <si>
    <t xml:space="preserve">Confirms the every-other-year rule that earlier came only from agency sites.</t>
  </si>
  <si>
    <t xml:space="preserve">Fire after earthquake</t>
  </si>
  <si>
    <t xml:space="preserve">Homeowners and renters policies must cover fire damage caused by or following an earthquake</t>
  </si>
  <si>
    <t xml:space="preserve">CDI earthquake page</t>
  </si>
  <si>
    <t xml:space="preserve">What earthquake insurance does not cover</t>
  </si>
  <si>
    <t xml:space="preserve">Vehicles; flood, sewer/drain backup, tsunami</t>
  </si>
  <si>
    <t xml:space="preserve">Claim reporting</t>
  </si>
  <si>
    <t xml:space="preserve">Insurer can deny claims not reported within one year</t>
  </si>
  <si>
    <t xml:space="preserve">CDI earthquake brochure</t>
  </si>
  <si>
    <t xml:space="preserve">From a truncated brochure snippet; confirm.</t>
  </si>
  <si>
    <t xml:space="preserve">CEA deductible options</t>
  </si>
  <si>
    <t xml:space="preserve">5%, 10%, 15%, 20%, 25% of dwelling coverage; homes over $1M dwelling limit or pre-1980 raised-foundation homes without verified retrofit only get 15%-25%</t>
  </si>
  <si>
    <t xml:space="preserve">CEA homeowners page</t>
  </si>
  <si>
    <t xml:space="preserve">California Earthquake Authority - Homeowners policies</t>
  </si>
  <si>
    <t xml:space="preserve">https://www.earthquakeauthority.com/california-earthquake-insurance-policies/homeowners</t>
  </si>
  <si>
    <t xml:space="preserve">Premium and take-up figures remain secondary; see Coverage Details.</t>
  </si>
  <si>
    <t xml:space="preserve">CEA retrofit discount and loss of use</t>
  </si>
  <si>
    <t xml:space="preserve">Discount up to 25% for retrofit; loss of use never has a deductible</t>
  </si>
  <si>
    <t xml:space="preserve">Flood</t>
  </si>
  <si>
    <t xml:space="preserve">Is flood covered?</t>
  </si>
  <si>
    <t xml:space="preserve">Generally excluded from homeowners and renters policies; NFIP (FEMA) offers it; CDI does not regulate the NFIP</t>
  </si>
  <si>
    <t xml:space="preserve">CDI Form 401; CDI flood page</t>
  </si>
  <si>
    <t xml:space="preserve">CA Dept of Insurance - Flood Insurance Resources</t>
  </si>
  <si>
    <t xml:space="preserve">https://www.insurance.ca.gov/01-consumers/140-catastrophes/FloodFacts.cfm</t>
  </si>
  <si>
    <t xml:space="preserve">NFIP maximums, single-family</t>
  </si>
  <si>
    <t xml:space="preserve">$250,000 structure; $100,000 contents; renters up to $100,000 contents</t>
  </si>
  <si>
    <t xml:space="preserve">Federal program authorization status must be checked live; see Coverage Details.</t>
  </si>
  <si>
    <t xml:space="preserve">FAIR Plan and storms</t>
  </si>
  <si>
    <t xml:space="preserve">FAIR Plan does not cover storm-related damage unless the owner buys a supplemental 'difference in conditions' (DIC) policy from another insurer</t>
  </si>
  <si>
    <t xml:space="preserve">CDI flood page</t>
  </si>
  <si>
    <t xml:space="preserve">FAIR Plan</t>
  </si>
  <si>
    <t xml:space="preserve">What it is</t>
  </si>
  <si>
    <t xml:space="preserve">Association of all licensed property insurers; insurer of last resort</t>
  </si>
  <si>
    <t xml:space="preserve">CDI Form 401; FAIR Plan site</t>
  </si>
  <si>
    <t xml:space="preserve">What it covers</t>
  </si>
  <si>
    <t xml:space="preserve">Standard fire policy for structure and contents; basic property policy with limits; no liability or other perils such as burglary</t>
  </si>
  <si>
    <t xml:space="preserve">CDI suggests a DIC or supplemental policy from a private insurer.</t>
  </si>
  <si>
    <t xml:space="preserve">Broker fees</t>
  </si>
  <si>
    <t xml:space="preserve">Broker may not charge a fee for a FAIR Plan submission</t>
  </si>
  <si>
    <t xml:space="preserve">Dwelling limit</t>
  </si>
  <si>
    <t xml:space="preserve">$3 million per property</t>
  </si>
  <si>
    <t xml:space="preserve">CDI press release 2019 (effective Apr 1, 2020); Assembly Insurance Committee</t>
  </si>
  <si>
    <t xml:space="preserve">CDI press release 089-19 - FAIR Plan coverage options</t>
  </si>
  <si>
    <t xml:space="preserve">https://www.insurance.ca.gov/0400-news/0100-press-releases/2019/release089-19.cfm</t>
  </si>
  <si>
    <t xml:space="preserve">Confirm current limit on the FAIR Plan site.</t>
  </si>
  <si>
    <t xml:space="preserve">2026 rate change</t>
  </si>
  <si>
    <t xml:space="preserve">CDI approved a 29.1% average dwelling increase (FAIR Plan asked for 35.8%), effective Oct 15, 2026 per news reports</t>
  </si>
  <si>
    <t xml:space="preserve">News reports, not the CDI decision</t>
  </si>
  <si>
    <t xml:space="preserve">KQED - FAIR Plan announces 29.1% rate hike (Aug 2026)</t>
  </si>
  <si>
    <t xml:space="preserve">https://www.kqed.org/news/12094860/california-fair-plan-announces-29-1-rate-hike-for-homeowners-this-fall</t>
  </si>
  <si>
    <t xml:space="preserve">Replaces the earlier 'sought 35.8%' note. Verify in the CDI order.</t>
  </si>
  <si>
    <t xml:space="preserve">Size</t>
  </si>
  <si>
    <t xml:space="preserve">Exposure $768 billion in June 2026 (KQED); policies 668,600 at end-2025 (InsuranceNewsNet)</t>
  </si>
  <si>
    <t xml:space="preserve">News reports</t>
  </si>
  <si>
    <t xml:space="preserve">InsuranceNewsNet - FAIR Plan rates going up 29.1% (May 2026)</t>
  </si>
  <si>
    <t xml:space="preserve">https://insurancenewsnet.com/oarticle/california-fair-plan-rates-going-up-29-1-in-late-2026</t>
  </si>
  <si>
    <t xml:space="preserve">Earlier note: about 697,000 policies in June (CalMatters). Different dates, not a true conflict; a third source's '550,000+' looks stale.</t>
  </si>
  <si>
    <t xml:space="preserve">Availability</t>
  </si>
  <si>
    <t xml:space="preserve">Sustainable Insurance Strategy</t>
  </si>
  <si>
    <t xml:space="preserve">Insurers that use catastrophe models or reinsurance costs in rates must commit to write at least 85% of their statewide market share in wildfire-distressed areas; larger insurers within two years of a rate filing being adopted</t>
  </si>
  <si>
    <t xml:space="preserve">CDI SIS page; CDI press release 023-2024</t>
  </si>
  <si>
    <t xml:space="preserve">CA Dept of Insurance - Sustainable Insurance Strategy updates</t>
  </si>
  <si>
    <t xml:space="preserve">https://www.insurance.ca.gov/01-consumers/180-climate-change/SustainableInsuranceStrategy.cfm</t>
  </si>
  <si>
    <t xml:space="preserve">CDI monitors this through rate filings. Actual new policies written are not published by CDI in what I found.</t>
  </si>
  <si>
    <t xml:space="preserve">Home Insurance Finder tool</t>
  </si>
  <si>
    <t xml:space="preserve">CDI tool to identify insurers writing in high-risk regions</t>
  </si>
  <si>
    <t xml:space="preserve">Possible data source to link to from your site; check terms.</t>
  </si>
  <si>
    <t xml:space="preserve">Surplus lines</t>
  </si>
  <si>
    <t xml:space="preserve">Insurers in this market are not backed by the California Insurance Guarantee Association</t>
  </si>
  <si>
    <t xml:space="preserve">Brokers</t>
  </si>
  <si>
    <t xml:space="preserve">Broker fee rules</t>
  </si>
  <si>
    <t xml:space="preserve">Advance consent after disclosure, signed Broker Fee Agreement, broker not appointed by the insurer, broker bond on file, fee disclosed at initial quote</t>
  </si>
  <si>
    <t xml:space="preserve">Fees are not set by law and may be negotiable.</t>
  </si>
  <si>
    <t xml:space="preserve">Bodily injury and property damage</t>
  </si>
  <si>
    <t xml:space="preserve">30/60/25: $30,000 per person, $60,000 per accident, $25,000 property damage</t>
  </si>
  <si>
    <t xml:space="preserve">TDI guide (Transportation Code 601.072 per secondary sources)</t>
  </si>
  <si>
    <t xml:space="preserve">Texas Dept of Insurance - Auto insurance guide (CB020)</t>
  </si>
  <si>
    <t xml:space="preserve">https://www.tdi.texas.gov/pubs/consumer/cb020.html</t>
  </si>
  <si>
    <t xml:space="preserve">Texas</t>
  </si>
  <si>
    <t xml:space="preserve">TDI: collision and comprehensive are required only by lenders.</t>
  </si>
  <si>
    <t xml:space="preserve">Personal injury protection (PIP)</t>
  </si>
  <si>
    <t xml:space="preserve">Included on auto policies; the insured must reject it in writing</t>
  </si>
  <si>
    <t xml:space="preserve">TDI guide</t>
  </si>
  <si>
    <t xml:space="preserve">PIP dollar amount not stated by TDI.</t>
  </si>
  <si>
    <t xml:space="preserve">PIP amount</t>
  </si>
  <si>
    <t xml:space="preserve">Insurers must offer $2,500</t>
  </si>
  <si>
    <t xml:space="preserve">Law-firm blog</t>
  </si>
  <si>
    <t xml:space="preserve">Ashmore Law Firm - Car insurance: do you have enough?</t>
  </si>
  <si>
    <t xml:space="preserve">https://www.ashmorelaw.com/blog/car-insurance-do-you-have-enough-.cfm</t>
  </si>
  <si>
    <t xml:space="preserve">Confirm in Insurance Code chapter 1952.</t>
  </si>
  <si>
    <t xml:space="preserve">Insurers must offer it; rejection must be in writing</t>
  </si>
  <si>
    <t xml:space="preserve">Optional; pays medical bills for you and passengers</t>
  </si>
  <si>
    <t xml:space="preserve">Rate approval</t>
  </si>
  <si>
    <t xml:space="preserve">No prior approval; TDI can order refunds if rates are too high; rates must be fair, reasonable and adequate</t>
  </si>
  <si>
    <t xml:space="preserve">Rating</t>
  </si>
  <si>
    <t xml:space="preserve">Prohibited factors</t>
  </si>
  <si>
    <t xml:space="preserve">Race, color, religion, national origin may not be used to deny or charge more</t>
  </si>
  <si>
    <t xml:space="preserve">Age, gender, marital status, location, disability</t>
  </si>
  <si>
    <t xml:space="preserve">Allowed only if the company can show a greater risk of loss</t>
  </si>
  <si>
    <t xml:space="preserve">Credit score</t>
  </si>
  <si>
    <t xml:space="preserve">May be used, but not as the only reason to turn you down or charge more; HelpInsure.com shows which companies use it</t>
  </si>
  <si>
    <t xml:space="preserve">Other factors TDI names</t>
  </si>
  <si>
    <t xml:space="preserve">Driving record and claims history (CLUE), where the car is kept, vehicle type, how the car is used, credit score</t>
  </si>
  <si>
    <t xml:space="preserve">Each company decides what to offer and the amount</t>
  </si>
  <si>
    <t xml:space="preserve">Examples TDI lists: airbags/ABS/antitheft, defensive driving or driver education, multi-car, multi-policy, no claims.</t>
  </si>
  <si>
    <t xml:space="preserve">Policy changes</t>
  </si>
  <si>
    <t xml:space="preserve">10 days' notice; any reason in first 60 days; afterwards only nonpayment, fraudulent claim, or suspended license/registration; unearned premium refunded within 15 days</t>
  </si>
  <si>
    <t xml:space="preserve">Written reason; 60 days' notice if bought or renewed in 2024 (30 days for 2023 or earlier); only after 12 months in effect; no nonrenewal for age or certain claims (weather, hitting an animal, not-at-fault, flying objects)</t>
  </si>
  <si>
    <t xml:space="preserve">Wording is date-specific; confirm the current notice period with TDI.</t>
  </si>
  <si>
    <t xml:space="preserve">Texas Automobile Insurance Plan (TAIPA)</t>
  </si>
  <si>
    <t xml:space="preserve">Available after two insurers decline; liability, PIP and UM/UIM only; no collision, comprehensive or higher limits; cheaper policy must be offered after 3 clean years</t>
  </si>
  <si>
    <t xml:space="preserve">Claims</t>
  </si>
  <si>
    <t xml:space="preserve">Deadlines</t>
  </si>
  <si>
    <t xml:space="preserve">Acknowledge within 15 days; accept or reject within 15 business days of receiving information (45 days if more time needed); pay within 5 business days of agreeing</t>
  </si>
  <si>
    <t xml:space="preserve">Prompt-pay rules do not apply when another driver's insurer pays.</t>
  </si>
  <si>
    <t xml:space="preserve">Settlement basis</t>
  </si>
  <si>
    <t xml:space="preserve">Actual cash value; parts of like kind and quality; insurer cannot require preferred shops</t>
  </si>
  <si>
    <t xml:space="preserve">Disputes</t>
  </si>
  <si>
    <t xml:space="preserve">Appraisal, TDI complaint (in writing), or court (Justice Court for claims under $10,000)</t>
  </si>
  <si>
    <t xml:space="preserve">Consumer rights</t>
  </si>
  <si>
    <t xml:space="preserve">Auto Consumer Bill of Rights</t>
  </si>
  <si>
    <t xml:space="preserve">Insurer must give a copy when you get or renew a policy</t>
  </si>
  <si>
    <t xml:space="preserve">Coverage required to register</t>
  </si>
  <si>
    <t xml:space="preserve">PIP $10,000 and property damage liability $10,000 for vehicles with at least four wheels</t>
  </si>
  <si>
    <t xml:space="preserve">FLHSMV; s. 627.736 and 324.022 per secondary sources</t>
  </si>
  <si>
    <t xml:space="preserve">Florida DHSMV - Florida Insurance Requirements</t>
  </si>
  <si>
    <t xml:space="preserve">https://www.flhsmv.gov/insurance/</t>
  </si>
  <si>
    <t xml:space="preserve">Florida</t>
  </si>
  <si>
    <t xml:space="preserve">PIP benefit</t>
  </si>
  <si>
    <t xml:space="preserve">Pays 80% of necessary and reasonable medical expenses up to $10,000, regardless of fault</t>
  </si>
  <si>
    <t xml:space="preserve">FLHSMV</t>
  </si>
  <si>
    <t xml:space="preserve">Bodily injury liability</t>
  </si>
  <si>
    <t xml:space="preserve">Not required for most private passenger vehicles; taxis must carry $125,000/$250,000/$50,000</t>
  </si>
  <si>
    <t xml:space="preserve">Continuous coverage</t>
  </si>
  <si>
    <t xml:space="preserve">Required even if the vehicle is not driven; surrender the plate before cancelling insurance</t>
  </si>
  <si>
    <t xml:space="preserve">Penalties</t>
  </si>
  <si>
    <t xml:space="preserve">Lapse consequences</t>
  </si>
  <si>
    <t xml:space="preserve">Driving privilege and plate can be suspended up to 3 years; reinstatement fee up to $500; no hardship license</t>
  </si>
  <si>
    <t xml:space="preserve">After a crash</t>
  </si>
  <si>
    <t xml:space="preserve">Proof of ability to pay damages: $10,000 for one person, $20,000 for two or more (bodily injury), plus property damage</t>
  </si>
  <si>
    <t xml:space="preserve">Ch. 324 (2022 text)</t>
  </si>
  <si>
    <t xml:space="preserve">Florida Statutes Chapter 324 - Financial Responsibility (2022 text)</t>
  </si>
  <si>
    <t xml:space="preserve">https://www.flsenate.gov/Laws/Statutes/2022/Chapter324/All</t>
  </si>
  <si>
    <t xml:space="preserve">Confirm current text; SR-22 is the filing that certifies BIL and PDL after a suspension (FLHSMV).</t>
  </si>
  <si>
    <t xml:space="preserve">DUI convictions</t>
  </si>
  <si>
    <t xml:space="preserve">BI liability of $100,000/$300,000 and $50,000 PD required</t>
  </si>
  <si>
    <t xml:space="preserve">s. 324.023 (per law-firm sources)</t>
  </si>
  <si>
    <t xml:space="preserve">Viles &amp; Beckman - Did Florida repeal no-fault? (Jul 2026)</t>
  </si>
  <si>
    <t xml:space="preserve">https://www.vilesandbeckman.com/blog/did-florida-repeal-no-fault-insurance-the-pip-myths-and-the-facts-for-2026/</t>
  </si>
  <si>
    <t xml:space="preserve">Not confirmed from statute text.</t>
  </si>
  <si>
    <t xml:space="preserve">No-fault</t>
  </si>
  <si>
    <t xml:space="preserve">Serious-injury threshold, 14-day rule, 60% wage loss, $5,000 death benefit</t>
  </si>
  <si>
    <t xml:space="preserve">Reported by law firms; PIP requires treatment within 14 days; lawsuits for pain and suffering require a defined serious injury</t>
  </si>
  <si>
    <t xml:space="preserve">s. 627.736, 627.737 (per law-firm sources)</t>
  </si>
  <si>
    <t xml:space="preserve">Read the statute before publishing.</t>
  </si>
  <si>
    <t xml:space="preserve">Legislation</t>
  </si>
  <si>
    <t xml:space="preserve">PIP repeal</t>
  </si>
  <si>
    <t xml:space="preserve">SB 522 and HB 769 died in committee on Mar 13, 2026; PIP remains required</t>
  </si>
  <si>
    <t xml:space="preserve">Florida Legislature (per law-firm sources)</t>
  </si>
  <si>
    <t xml:space="preserve">Next session convenes Mar 2, 2027; verify at flsenate.gov.</t>
  </si>
  <si>
    <t xml:space="preserve">At least 45 days' notice (10 days for nonpayment); notice must explain appeal right to the Office of Insurance Regulation (appeal at least 20 days before effective date)</t>
  </si>
  <si>
    <t xml:space="preserve">s. 627.728</t>
  </si>
  <si>
    <t xml:space="preserve">Florida Statutes 627.728 - Cancellations; nonrenewals (2025, via Justia)</t>
  </si>
  <si>
    <t xml:space="preserve">https://law.justia.com/codes/florida/title-xxxvii/chapter-627/part-xi/section-627-728/</t>
  </si>
  <si>
    <t xml:space="preserve">Nonrenewal rules for private passenger auto not captured; s. 626.9201 sits in the surplus lines part of the code.</t>
  </si>
  <si>
    <t xml:space="preserve">Credit</t>
  </si>
  <si>
    <t xml:space="preserve">Statute regulates and limits use of credit reports and scores in personal lines motor vehicle and residential insurance; insurer must disclose the request and use DFS-prescribed language; certain inquiries and medical collections may not be used; appeal rights for events such as divorce, spouse's death, temporary job loss</t>
  </si>
  <si>
    <t xml:space="preserve">s. 626.9741</t>
  </si>
  <si>
    <t xml:space="preserve">Florida Statutes 626.9741 - Credit reports and scores by insurers</t>
  </si>
  <si>
    <t xml:space="preserve">https://www.flsenate.gov/Laws/Statutes/2025/0626.9741</t>
  </si>
  <si>
    <t xml:space="preserve">Seen in snippets and older-year text; fetch was rate-limited. Confirm full text.</t>
  </si>
  <si>
    <t xml:space="preserve">Statutory discounts</t>
  </si>
  <si>
    <t xml:space="preserve">Sections 627.06501 (driver improvement course, discount up to 10% presumed appropriate), 627.0652 (safety course, 3-year reduction), 627.0653 (specified equipment)</t>
  </si>
  <si>
    <t xml:space="preserve">Fla. Stat. 627.06501, 627.0652, 627.0653</t>
  </si>
  <si>
    <t xml:space="preserve">Florida Statutes Chapter 627 (2025) - table of contents</t>
  </si>
  <si>
    <t xml:space="preserve">https://www.flsenate.gov/Laws/Statutes/2025/Chapter627/All</t>
  </si>
  <si>
    <t xml:space="preserve">Section titles confirmed in the 2025 table of contents; course text is from 2003 and 2012 versions.</t>
  </si>
  <si>
    <t xml:space="preserve">Rate filing rules</t>
  </si>
  <si>
    <t xml:space="preserve">Section 627.0651 governs making and use of rates for motor vehicle insurance</t>
  </si>
  <si>
    <t xml:space="preserve">s. 627.0651</t>
  </si>
  <si>
    <t xml:space="preserve">Only the title was seen; not researched.</t>
  </si>
  <si>
    <t xml:space="preserve">Bodily injury</t>
  </si>
  <si>
    <t xml:space="preserve">$25,000 per person (non-death) or $50,000 (death); $50,000 for two or more (non-death) or $100,000 (death)</t>
  </si>
  <si>
    <t xml:space="preserve">NY Vehicle and Traffic Law (per DFS)</t>
  </si>
  <si>
    <t xml:space="preserve">NY Dept of Financial Services - Auto Insurance Information for Consumers</t>
  </si>
  <si>
    <t xml:space="preserve">https://www.dfs.ny.gov/consumers/auto_insurance/Auto_resource_center</t>
  </si>
  <si>
    <t xml:space="preserve">New York</t>
  </si>
  <si>
    <t xml:space="preserve">$10,000 per accident (25/50/10)</t>
  </si>
  <si>
    <t xml:space="preserve">DFS</t>
  </si>
  <si>
    <t xml:space="preserve">Basic PIP</t>
  </si>
  <si>
    <t xml:space="preserve">$50,000 per person: medical, 80% of lost earnings up to $2,000 a month for up to 3 years, $25 a day for up to a year for other expenses, $2,000 death benefit</t>
  </si>
  <si>
    <t xml:space="preserve">Lawsuits</t>
  </si>
  <si>
    <t xml:space="preserve">Non-economic damages only for a 'serious injury' as defined in the Insurance Law</t>
  </si>
  <si>
    <t xml:space="preserve">Who is ineligible</t>
  </si>
  <si>
    <t xml:space="preserve">Impaired or intoxicated driver, intentional self-injury, ATV/motorcycle riders, felony, known stolen vehicle, owner of an uninsured vehicle</t>
  </si>
  <si>
    <t xml:space="preserve">Claim timing</t>
  </si>
  <si>
    <t xml:space="preserve">Written notice within 30 days; application sent within 5 business days; payment within 30 days; 2% monthly interest if late</t>
  </si>
  <si>
    <t xml:space="preserve">Uninsured motorists</t>
  </si>
  <si>
    <t xml:space="preserve">Required UM</t>
  </si>
  <si>
    <t xml:space="preserve">Same minimum bodily injury limits; applies to NY accidents; out-of-state by endorsement</t>
  </si>
  <si>
    <t xml:space="preserve">SUM</t>
  </si>
  <si>
    <t xml:space="preserve">Included at bodily injury limits unless declined by signed waiver; insurer notifies annually; up to BI limits; insurer must offer $250,000/$500,000 if BI is that high</t>
  </si>
  <si>
    <t xml:space="preserve">DFS FAQ</t>
  </si>
  <si>
    <t xml:space="preserve">NY DFS FAQ - How much auto insurance must I carry?</t>
  </si>
  <si>
    <t xml:space="preserve">https://www.dfs.ny.gov/faqs/consumer-auto/how-much-auto-insurance-must-i-carry</t>
  </si>
  <si>
    <t xml:space="preserve">Optional</t>
  </si>
  <si>
    <t xml:space="preserve">Additional PIP, OBEL, spousal liability</t>
  </si>
  <si>
    <t xml:space="preserve">Additional PIP to $100,000+; OBEL adds $25,000; supplemental spousal liability included unless declined</t>
  </si>
  <si>
    <t xml:space="preserve">Enforcement</t>
  </si>
  <si>
    <t xml:space="preserve">DMV tracking</t>
  </si>
  <si>
    <t xml:space="preserve">Insurers report starts, renewals and cancellations; lapses can suspend registration and license</t>
  </si>
  <si>
    <t xml:space="preserve">DFS (IIES)</t>
  </si>
  <si>
    <t xml:space="preserve">Classifications</t>
  </si>
  <si>
    <t xml:space="preserve">Age, sex, marital status, territory, annual mileage, vehicle use and driving experience; inexperienced-operator surcharge if licensed under 3 years</t>
  </si>
  <si>
    <t xml:space="preserve">Discrimination limits</t>
  </si>
  <si>
    <t xml:space="preserve">Insurance Law forbids refusing or terminating a policy because of race, creed, color, national origin, disability, sex, marital status or advanced age; cannot reject solely for geography; 39-month no-vehicle rule</t>
  </si>
  <si>
    <t xml:space="preserve">Reconcile with the classification list: rating classes are allowed, refusal or termination on these grounds is not.</t>
  </si>
  <si>
    <t xml:space="preserve">May be used but not as sole basis for rejection; insurer must disclose use and notify of higher premium; review at least every 3 years; may not terminate or raise renewal premium based on credit</t>
  </si>
  <si>
    <t xml:space="preserve">Surcharges</t>
  </si>
  <si>
    <t xml:space="preserve">First at-fault accident can add up to 40% under many plans; typical 3-year period; specified exceptions; total capped at 3 times base premium; applies only to liability, no-fault and collision</t>
  </si>
  <si>
    <t xml:space="preserve">Accident prevention course</t>
  </si>
  <si>
    <t xml:space="preserve">Insurers must apply a discount to liability, collision and no-fault for 3 years; up to 4 points removed from license record</t>
  </si>
  <si>
    <t xml:space="preserve">Equipment and anti-theft</t>
  </si>
  <si>
    <t xml:space="preserve">Discounts for ABS, daytime running lamps, air bags or automatic belts, anti-theft devices, electronic tracking and window etching</t>
  </si>
  <si>
    <t xml:space="preserve">Amount of required discounts must appear on the declarations page.</t>
  </si>
  <si>
    <t xml:space="preserve">Optional; may be based on miles, time of day, acceleration, braking and GPS location</t>
  </si>
  <si>
    <t xml:space="preserve">First 60 days for any lawful reason; afterwards only license suspension/revocation, nonpayment or fraud; 20 days' notice (15 for nonpayment) stating reason</t>
  </si>
  <si>
    <t xml:space="preserve">45 to 60 days' advance written notice with reasons; no nonrenewal solely because the driver is 60</t>
  </si>
  <si>
    <t xml:space="preserve">Auto Plan (NYAIP)</t>
  </si>
  <si>
    <t xml:space="preserve">For those declined in the voluntary market; same premium whichever insurer is assigned; insurer must keep you 3 years before nonrenewal</t>
  </si>
  <si>
    <t xml:space="preserve">Physical damage timelines (Reg. 64)</t>
  </si>
  <si>
    <t xml:space="preserve">Inspect and make good-faith offer within 6 business days; pay within 5 business days of agreement; written reason if unsettled after 30 days</t>
  </si>
  <si>
    <t xml:space="preserve">Fees</t>
  </si>
  <si>
    <t xml:space="preserve">Motor vehicle law enforcement fee</t>
  </si>
  <si>
    <t xml:space="preserve">$10 per vehicle per year ($5 for six-month policy)</t>
  </si>
  <si>
    <t xml:space="preserve">Standard coverages</t>
  </si>
  <si>
    <t xml:space="preserve">Most Texas home policies include six coverages; dwelling coverage pays if the house is damaged or destroyed by a covered peril</t>
  </si>
  <si>
    <t xml:space="preserve">TDI home guide (CB025)</t>
  </si>
  <si>
    <t xml:space="preserve">Texas Dept of Insurance - Home insurance guide (CB025)</t>
  </si>
  <si>
    <t xml:space="preserve">https://www.tdi.texas.gov/pubs/consumer/cb025.html</t>
  </si>
  <si>
    <t xml:space="preserve">Settlement</t>
  </si>
  <si>
    <t xml:space="preserve">Replacement cost vs actual cash value</t>
  </si>
  <si>
    <t xml:space="preserve">Replacement cost pays current repair or rebuild cost; actual cash value pays replacement cost minus depreciation and costs less</t>
  </si>
  <si>
    <t xml:space="preserve">TDI home insurance page</t>
  </si>
  <si>
    <t xml:space="preserve">Liability</t>
  </si>
  <si>
    <t xml:space="preserve">Personal liability</t>
  </si>
  <si>
    <t xml:space="preserve">Home policies include liability protection with a limited amount; a separate umbrella policy can add more</t>
  </si>
  <si>
    <t xml:space="preserve">TDI home guide</t>
  </si>
  <si>
    <t xml:space="preserve">No. A separate flood policy is needed, from an insurer or the National Flood Insurance Program</t>
  </si>
  <si>
    <t xml:space="preserve">TDI flood page</t>
  </si>
  <si>
    <t xml:space="preserve">Waiting period</t>
  </si>
  <si>
    <t xml:space="preserve">NFIP policies take effect 30 days after purchase unless bought for a new home purchase</t>
  </si>
  <si>
    <t xml:space="preserve">TDI blog</t>
  </si>
  <si>
    <t xml:space="preserve">Texas Dept of Insurance - Home and property blog</t>
  </si>
  <si>
    <t xml:space="preserve">https://tdi.texas.gov/blog/category/home-property.html</t>
  </si>
  <si>
    <t xml:space="preserve">Wind</t>
  </si>
  <si>
    <t xml:space="preserve">Coastal homes</t>
  </si>
  <si>
    <t xml:space="preserve">Home policy may not cover wind and hail on the Texas coast or in Harris County on Galveston Bay; TWIA sells wind and hail coverage</t>
  </si>
  <si>
    <t xml:space="preserve">TWIA territory</t>
  </si>
  <si>
    <t xml:space="preserve">14 coastal counties and parts of Harris County east of Highway 146</t>
  </si>
  <si>
    <t xml:space="preserve">TDI market overview</t>
  </si>
  <si>
    <t xml:space="preserve">Texas Dept of Insurance - Texas homeowners insurance market overview</t>
  </si>
  <si>
    <t xml:space="preserve">https://www.tdi.texas.gov/general/texas-homeowners-insurance-market-overview.html</t>
  </si>
  <si>
    <t xml:space="preserve">TWIA eligibility</t>
  </si>
  <si>
    <t xml:space="preserve">May require flood insurance first and an engineer or windstorm inspection; flood is required when property is in a V-type flood zone and NFIP flood is available</t>
  </si>
  <si>
    <t xml:space="preserve">TDI home guide; TWIA</t>
  </si>
  <si>
    <t xml:space="preserve">TWIA - Flood insurance requirements</t>
  </si>
  <si>
    <t xml:space="preserve">https://www.twia.org/flood-requirement/</t>
  </si>
  <si>
    <t xml:space="preserve">TWIA sells wind and hail only, so a flood policy and a separate home policy are usually also needed.</t>
  </si>
  <si>
    <t xml:space="preserve">TWIA claim deadline</t>
  </si>
  <si>
    <t xml:space="preserve">One year from the date of damage</t>
  </si>
  <si>
    <t xml:space="preserve">Named storm cutoff</t>
  </si>
  <si>
    <t xml:space="preserve">Once a named storm enters the Gulf, most insurers including TWIA stop selling new policies or making changes</t>
  </si>
  <si>
    <t xml:space="preserve">Timing matters for any 'buy now' guidance.</t>
  </si>
  <si>
    <t xml:space="preserve">TWIA maximum dwelling coverage</t>
  </si>
  <si>
    <t xml:space="preserve">About $1.8 million reported; one source says the Commissioner disapproved a proposed increase to $1,809,000 (TDI Order 2025-9540)</t>
  </si>
  <si>
    <t xml:space="preserve">Not confirmed</t>
  </si>
  <si>
    <t xml:space="preserve">Latent Insurance - TWIA coverage, limits and cost (Aug 2026)</t>
  </si>
  <si>
    <t xml:space="preserve">https://www.latentinsure.com/texas-homeowners-insurance/twia</t>
  </si>
  <si>
    <t xml:space="preserve">The two statements can both be true or the limit may differ; check TWIA's current limits.</t>
  </si>
  <si>
    <t xml:space="preserve">Residual market</t>
  </si>
  <si>
    <t xml:space="preserve">FAIR Plan eligibility</t>
  </si>
  <si>
    <t xml:space="preserve">Texas-licensed companies will not insure you, at least two turned you down, and no company offered the same level of coverage</t>
  </si>
  <si>
    <t xml:space="preserve">Nonrenewal notice</t>
  </si>
  <si>
    <t xml:space="preserve">Company must give 60 days' notice before the policy ends</t>
  </si>
  <si>
    <t xml:space="preserve">Undated blog; compare with the auto rule, which is date-specific.</t>
  </si>
  <si>
    <t xml:space="preserve">Public adjusters</t>
  </si>
  <si>
    <t xml:space="preserve">Must hold a TDI license</t>
  </si>
  <si>
    <t xml:space="preserve">Market</t>
  </si>
  <si>
    <t xml:space="preserve">Average annual homeowners premium</t>
  </si>
  <si>
    <t xml:space="preserve">$3,506 (preliminary 2025)</t>
  </si>
  <si>
    <t xml:space="preserve">TDI June 2026 market overview (as reported)</t>
  </si>
  <si>
    <t xml:space="preserve">Aegivra - Texas homeowners insurance guide (Jul 2026)</t>
  </si>
  <si>
    <t xml:space="preserve">https://aegivra.com/guides/texas-homeowners-insurance-guide</t>
  </si>
  <si>
    <t xml:space="preserve">Read the TDI overview directly before using.</t>
  </si>
  <si>
    <t xml:space="preserve">Deductible</t>
  </si>
  <si>
    <t xml:space="preserve">Wind/hail deductible form</t>
  </si>
  <si>
    <t xml:space="preserve">Usually a percentage of Coverage A; for example 2% of a $500,000 dwelling limit is $10,000</t>
  </si>
  <si>
    <t xml:space="preserve">Policy practice (not a statute)</t>
  </si>
  <si>
    <t xml:space="preserve">Percentages vary by policy.</t>
  </si>
  <si>
    <t xml:space="preserve">Hurricane deductible</t>
  </si>
  <si>
    <t xml:space="preserve">Options insurers must offer</t>
  </si>
  <si>
    <t xml:space="preserve">$500, 2%, 5% and 10% of the policy dwelling limit before issuing a personal residential policy (unless the percentage is under $500)</t>
  </si>
  <si>
    <t xml:space="preserve">Fla. Stat. 627.701(3)(a)</t>
  </si>
  <si>
    <t xml:space="preserve">Florida Statutes 627.701 - deductibles (via FindLaw)</t>
  </si>
  <si>
    <t xml:space="preserve">https://codes.findlaw.com/fl/title-xxxvii-insurance/fl-st-sect-627-701/</t>
  </si>
  <si>
    <t xml:space="preserve">Statute text seen via FindLaw snippet.</t>
  </si>
  <si>
    <t xml:space="preserve">When it applies</t>
  </si>
  <si>
    <t xml:space="preserve">Begins when a hurricane warning is issued for any part of Florida; applies annually if the same insurer or group covers you</t>
  </si>
  <si>
    <t xml:space="preserve">Fla. Stat. 627.4025 (per DFS)</t>
  </si>
  <si>
    <t xml:space="preserve">Florida DFS - Florida's Hurricane Deductible</t>
  </si>
  <si>
    <t xml:space="preserve">https://www.myfloridacfo.com/division/consumers/consumerprotections/floridashurricanedeductible</t>
  </si>
  <si>
    <t xml:space="preserve">A secondary source says it ends 72 hours after the last watch or warning ends.</t>
  </si>
  <si>
    <t xml:space="preserve">Separate from other perils</t>
  </si>
  <si>
    <t xml:space="preserve">A percentage hurricane deductible is separate from the regular deductible; only the hurricane deductible applies to a hurricane loss</t>
  </si>
  <si>
    <t xml:space="preserve">DFS; secondary sources</t>
  </si>
  <si>
    <t xml:space="preserve">Example: 2% of a $340,000 dwelling limit is $6,800 (Coverage Classroom).</t>
  </si>
  <si>
    <t xml:space="preserve">Wind coverage</t>
  </si>
  <si>
    <t xml:space="preserve">Windstorm exclusion</t>
  </si>
  <si>
    <t xml:space="preserve">Authorized insurers (not surplus lines) must make a windstorm exclusion available</t>
  </si>
  <si>
    <t xml:space="preserve">Fla. Stat. 627.712 (per DFS)</t>
  </si>
  <si>
    <t xml:space="preserve">Mitigation credits</t>
  </si>
  <si>
    <t xml:space="preserve">When the owner has taken hurricane mitigation measures, insurer must offer a reduced hurricane deductible or a discount credit</t>
  </si>
  <si>
    <t xml:space="preserve">Fla. Stat. 627.701(9); 627.0629</t>
  </si>
  <si>
    <t xml:space="preserve">Text seen is from a 2011 version; confirm current law.</t>
  </si>
  <si>
    <t xml:space="preserve">Separate roof deductible</t>
  </si>
  <si>
    <t xml:space="preserve">Insurers may include a separate roof deductible meeting statutory conditions; policyholder may opt out at initial issuance</t>
  </si>
  <si>
    <t xml:space="preserve">Fla. Stat. 627.701(10)</t>
  </si>
  <si>
    <t xml:space="preserve">Conditions were truncated in the snippet; read the statute.</t>
  </si>
  <si>
    <t xml:space="preserve">No. Homeowners policies exclude flood and Citizens may not insure flood</t>
  </si>
  <si>
    <t xml:space="preserve">Fla. Stat. 627.715 (per secondary source)</t>
  </si>
  <si>
    <t xml:space="preserve">Coverage Classroom - Hurricane insurance in Florida</t>
  </si>
  <si>
    <t xml:space="preserve">https://coverageclassroom.com/learn/hurricane-insurance-florida-guide</t>
  </si>
  <si>
    <t xml:space="preserve">Citizens</t>
  </si>
  <si>
    <t xml:space="preserve">Flood requirement phase-in</t>
  </si>
  <si>
    <t xml:space="preserve">Citizens wind policies need separate flood coverage: $600,000+ dwelling from Jan 1, 2024; $500,000+ from Jan 1, 2025; $400,000+ from Jan 1, 2026; all remaining policies from Jan 1, 2027; policies without wind are excluded</t>
  </si>
  <si>
    <t xml:space="preserve">Fla. Stat. 627.351(6)(aa) (per secondary sources)</t>
  </si>
  <si>
    <t xml:space="preserve">Coverage Classroom - Citizens flood requirement phase-in</t>
  </si>
  <si>
    <t xml:space="preserve">https://coverageclassroom.com/learn/citizens-flood-insurance-requirement</t>
  </si>
  <si>
    <t xml:space="preserve">Confirm on Citizens' site. Coverage Criteria/Lewis Insurance agree on the $400,000 level for 2026.</t>
  </si>
  <si>
    <t xml:space="preserve">Eligibility price test</t>
  </si>
  <si>
    <t xml:space="preserve">A private offer within 20% of the Citizens rate can make the risk ineligible</t>
  </si>
  <si>
    <t xml:space="preserve">Fla. Stat. 627.351(6) (per secondary sources)</t>
  </si>
  <si>
    <t xml:space="preserve">CIG Florida - Policy updates for Florida homeowners (Apr 2026)</t>
  </si>
  <si>
    <t xml:space="preserve">https://www.cigflorida.com/policy-updates-for-florida-homeowners/</t>
  </si>
  <si>
    <t xml:space="preserve">Three sources agree.</t>
  </si>
  <si>
    <t xml:space="preserve">Surcharges and assessments</t>
  </si>
  <si>
    <t xml:space="preserve">Policyholder surcharge up to 45% and emergency assessments up to 30% on most Florida policies after a deficit</t>
  </si>
  <si>
    <t xml:space="preserve">Fla. Stat. 627.351(6) (per CIG)</t>
  </si>
  <si>
    <t xml:space="preserve">1.93% of the statewide homeowners market and 57.33% of the wind-only market as of Mar 31, 2026</t>
  </si>
  <si>
    <t xml:space="preserve">OIR data (per Coverage Classroom)</t>
  </si>
  <si>
    <t xml:space="preserve">Policy counts disagree: over 1.2 million (Louis Law) vs under 400,000 (Lewis Insurance, Jan 2026).</t>
  </si>
  <si>
    <t xml:space="preserve">County average premiums including wind (Mar 31, 2026)</t>
  </si>
  <si>
    <t xml:space="preserve">Sumter $2,105 (lowest; $1,352 without wind); Osceola $2,940</t>
  </si>
  <si>
    <t xml:space="preserve">OIR July 2026 report (per Coverage Classroom)</t>
  </si>
  <si>
    <t xml:space="preserve">Read the OIR report directly.</t>
  </si>
  <si>
    <t xml:space="preserve">State</t>
  </si>
  <si>
    <t xml:space="preserve">BI Per Person ($k)</t>
  </si>
  <si>
    <t xml:space="preserve">BI Per Accident ($k)</t>
  </si>
  <si>
    <t xml:space="preserve">PD ($k)</t>
  </si>
  <si>
    <t xml:space="preserve">Fault System</t>
  </si>
  <si>
    <t xml:space="preserve">PIP / MedPay</t>
  </si>
  <si>
    <t xml:space="preserve">UM/UIM</t>
  </si>
  <si>
    <t xml:space="preserve">Change Note</t>
  </si>
  <si>
    <t xml:space="preserve">Alabama</t>
  </si>
  <si>
    <t xml:space="preserve">Placeholder</t>
  </si>
  <si>
    <t xml:space="preserve">To research: check state DOI/DMV for current limits.</t>
  </si>
  <si>
    <t xml:space="preserve">Alaska</t>
  </si>
  <si>
    <t xml:space="preserve">Insurance Geek - Minimum limits by state (Apr 2026)</t>
  </si>
  <si>
    <t xml:space="preserve">https://www.insurancegeek.com/auto-insurance/state-minimum-car-insurance-limits/</t>
  </si>
  <si>
    <t xml:space="preserve">Described as among the highest minimums.</t>
  </si>
  <si>
    <t xml:space="preserve">Arizona</t>
  </si>
  <si>
    <t xml:space="preserve">Arkansas</t>
  </si>
  <si>
    <t xml:space="preserve">Comparative negligence (per CDI)</t>
  </si>
  <si>
    <t xml:space="preserve">MedPay optional; minimum purchasable limit $1,000 per person</t>
  </si>
  <si>
    <t xml:space="preserve">UM/UIM must be offered; can be declined by signed waiver</t>
  </si>
  <si>
    <t xml:space="preserve">SB 1107: increased limits begin 2025</t>
  </si>
  <si>
    <t xml:space="preserve">Verified on DMV and CDI pages (Insurance Code section 11580.1(b)). Policies renew at new limits (per law-firm summaries, secondary). See CA Auto Verified tab.</t>
  </si>
  <si>
    <t xml:space="preserve">Colorado</t>
  </si>
  <si>
    <t xml:space="preserve">Connecticut</t>
  </si>
  <si>
    <t xml:space="preserve">Delaware</t>
  </si>
  <si>
    <t xml:space="preserve">District of Columbia</t>
  </si>
  <si>
    <t xml:space="preserve">None required</t>
  </si>
  <si>
    <t xml:space="preserve">PIP $10,000 required (pays 80% of necessary medical expenses regardless of fault)</t>
  </si>
  <si>
    <t xml:space="preserve">FLHSMV: PIP and PDL required to register vehicles with 4+ wheels; BI not required for most private vehicles (taxis: 125/250/50). After a crash, the Financial Responsibility Law can require BI proof of 10/20. See FL Auto Verified.</t>
  </si>
  <si>
    <t xml:space="preserve">Georgia</t>
  </si>
  <si>
    <t xml:space="preserve">Hawaii</t>
  </si>
  <si>
    <t xml:space="preserve">Single source says minimums rise from 20/40/10 to 40/80/20 in 2026</t>
  </si>
  <si>
    <t xml:space="preserve">Beach Insurance LLC - State minimums 2026</t>
  </si>
  <si>
    <t xml:space="preserve">https://beachinsurancellc.com/blog/state-minimum-car-insurance-requirements-for-2026-your-essential-guide</t>
  </si>
  <si>
    <t xml:space="preserve">Only one source found for the 2026 change; verify with Hawaii Insurance Division.</t>
  </si>
  <si>
    <t xml:space="preserve">Idaho</t>
  </si>
  <si>
    <t xml:space="preserve">Illinois</t>
  </si>
  <si>
    <t xml:space="preserve">Indiana</t>
  </si>
  <si>
    <t xml:space="preserve">Iowa</t>
  </si>
  <si>
    <t xml:space="preserve">Coverage Criteria - Minimum auto insurance by state (Feb 2026)</t>
  </si>
  <si>
    <t xml:space="preserve">https://coveragecriteria.com/articles/minimum-auto-insurance-by-state</t>
  </si>
  <si>
    <t xml:space="preserve">Among the lowest bodily injury minimums.</t>
  </si>
  <si>
    <t xml:space="preserve">Kansas</t>
  </si>
  <si>
    <t xml:space="preserve">Kentucky</t>
  </si>
  <si>
    <t xml:space="preserve">Basic PIP included (per source)</t>
  </si>
  <si>
    <t xml:space="preserve">AutoInsurance.org - Requirements by state</t>
  </si>
  <si>
    <t xml:space="preserve">https://www.autoinsurance.org/car-insurance-requirements/</t>
  </si>
  <si>
    <t xml:space="preserve">Louisiana</t>
  </si>
  <si>
    <t xml:space="preserve">Maine</t>
  </si>
  <si>
    <t xml:space="preserve">MedPay required (per Beach Insurance)</t>
  </si>
  <si>
    <t xml:space="preserve">Maryland</t>
  </si>
  <si>
    <t xml:space="preserve">Massachusetts</t>
  </si>
  <si>
    <t xml:space="preserve">Michigan</t>
  </si>
  <si>
    <t xml:space="preserve">Not captured</t>
  </si>
  <si>
    <t xml:space="preserve">Tiered PIP; options from $50,000 up to unlimited medical (2020 reform)</t>
  </si>
  <si>
    <t xml:space="preserve">PD minimum not captured; complex PIP tiers; verify with DIFS.</t>
  </si>
  <si>
    <t xml:space="preserve">Minnesota</t>
  </si>
  <si>
    <t xml:space="preserve">Mississippi</t>
  </si>
  <si>
    <t xml:space="preserve">Missouri</t>
  </si>
  <si>
    <t xml:space="preserve">Montana</t>
  </si>
  <si>
    <t xml:space="preserve">Nebraska</t>
  </si>
  <si>
    <t xml:space="preserve">Nevada</t>
  </si>
  <si>
    <t xml:space="preserve">New Hampshire</t>
  </si>
  <si>
    <t xml:space="preserve">No mandate</t>
  </si>
  <si>
    <t xml:space="preserve">CNBC Select - State minimum requirements</t>
  </si>
  <si>
    <t xml:space="preserve">https://www.cnbc.com/select/state-minimum-car-insurance-requirements/</t>
  </si>
  <si>
    <t xml:space="preserve">No blanket requirement, but proof of financial responsibility needed; 25/50/25 applies if insured.</t>
  </si>
  <si>
    <t xml:space="preserve">New Jersey</t>
  </si>
  <si>
    <t xml:space="preserve">UM/UIM limits also rising</t>
  </si>
  <si>
    <t xml:space="preserve">New limits effective Jan 1, 2026 (3 sources)</t>
  </si>
  <si>
    <t xml:space="preserve">Coverage Criteria (Feb 2026) still lists older two-tier structure (Basic Policy: no BI minimum, $5K PD, $15K PIP; Standard: 15/30/5 + $15K PIP). Confirm with NJ DOBI.</t>
  </si>
  <si>
    <t xml:space="preserve">New Mexico</t>
  </si>
  <si>
    <t xml:space="preserve">Basic no-fault $50,000 required</t>
  </si>
  <si>
    <t xml:space="preserve">UM required at 25/50 (NY accidents); SUM included unless declined</t>
  </si>
  <si>
    <t xml:space="preserve">Death limits: $50,000 per person; $100,000 for two or more</t>
  </si>
  <si>
    <t xml:space="preserve">DFS: 25/50/10 plus $50,000 basic no-fault. See NY Auto Verified.</t>
  </si>
  <si>
    <t xml:space="preserve">North Carolina</t>
  </si>
  <si>
    <t xml:space="preserve">Raised in 2025 per source</t>
  </si>
  <si>
    <t xml:space="preserve">North Dakota</t>
  </si>
  <si>
    <t xml:space="preserve">Ohio</t>
  </si>
  <si>
    <t xml:space="preserve">Oklahoma</t>
  </si>
  <si>
    <t xml:space="preserve">Oregon</t>
  </si>
  <si>
    <t xml:space="preserve">Pennsylvania</t>
  </si>
  <si>
    <t xml:space="preserve">Limits not captured in this research.</t>
  </si>
  <si>
    <t xml:space="preserve">Rhode Island</t>
  </si>
  <si>
    <t xml:space="preserve">South Carolina</t>
  </si>
  <si>
    <t xml:space="preserve">South Dakota</t>
  </si>
  <si>
    <t xml:space="preserve">Tennessee</t>
  </si>
  <si>
    <t xml:space="preserve">PIP included in auto policies unless rejected in writing</t>
  </si>
  <si>
    <t xml:space="preserve">UM/UIM must be offered; can be rejected in writing</t>
  </si>
  <si>
    <t xml:space="preserve">TDI guide. Only liability is required. See TX Auto Verified.</t>
  </si>
  <si>
    <t xml:space="preserve">Utah</t>
  </si>
  <si>
    <t xml:space="preserve">Vermont</t>
  </si>
  <si>
    <t xml:space="preserve">UM/UIM 50/100/10</t>
  </si>
  <si>
    <t xml:space="preserve">Virginia</t>
  </si>
  <si>
    <t xml:space="preserve">Effective Jan 1, 2025 per two sources</t>
  </si>
  <si>
    <t xml:space="preserve">Coverage Criteria says 30/60/20 effective Jan 1, 2025. Two sources agree on 50/100/25. Confirm with VA DMV.</t>
  </si>
  <si>
    <t xml:space="preserve">Washington</t>
  </si>
  <si>
    <t xml:space="preserve">West Virginia</t>
  </si>
  <si>
    <t xml:space="preserve">Wisconsin</t>
  </si>
  <si>
    <t xml:space="preserve">Wyoming</t>
  </si>
  <si>
    <t xml:space="preserve">Credit - Auto</t>
  </si>
  <si>
    <t xml:space="preserve">Credit - Home</t>
  </si>
  <si>
    <t xml:space="preserve">Gender</t>
  </si>
  <si>
    <t xml:space="preserve">Age</t>
  </si>
  <si>
    <t xml:space="preserve">Other Notes</t>
  </si>
  <si>
    <t xml:space="preserve">Not on approved factor list (10 CCR 2632.5)</t>
  </si>
  <si>
    <t xml:space="preserve">Banned (secondary: CNBC, Newsweek) - not yet verified from primary</t>
  </si>
  <si>
    <t xml:space="preserve">Not on approved factor list; regulation history shows one factor repealed effective Jan 1, 2019</t>
  </si>
  <si>
    <t xml:space="preserve">Not on approved list; only years licensed (third mandatory factor)</t>
  </si>
  <si>
    <t xml:space="preserve">Mandatory factors in order: driving safety record, annual miles, years of driving experience. ZIP allowed only through claims frequency/severity bands (max 20 categories each); marital status is an allowed optional factor.</t>
  </si>
  <si>
    <t xml:space="preserve">Regulation text</t>
  </si>
  <si>
    <t xml:space="preserve">Resolves the earlier conflict: The Zebra and Firstcard were each partly right. Home-credit column is still secondary. Absence from the list is derived from the regulation text; confirm with counsel.</t>
  </si>
  <si>
    <t xml:space="preserve">California (home)</t>
  </si>
  <si>
    <t xml:space="preserve">Not applicable (auto rule)</t>
  </si>
  <si>
    <t xml:space="preserve">Unresolved: no explicit statute found; reports say CDI does not approve homeowners rate filings that depend on credit, while older reports say some insurers used credit in underwriting</t>
  </si>
  <si>
    <t xml:space="preserve">A ban bill passed the Senate in 2022 (outcome not confirmed); 2004 and 2006 bills were earlier attempts. Experian (2025) says CA insurers do not use credit for homeowners rates.</t>
  </si>
  <si>
    <t xml:space="preserve">United Policyholders - Should states ban credit-based insurance scoring? (2013)</t>
  </si>
  <si>
    <t xml:space="preserve">https://uphelp.org/should-states-ban-credit-based-insurance-scoring/</t>
  </si>
  <si>
    <t xml:space="preserve">Ask CDI directly and check Insurance Code and CDI rate-filing rules for homeowners.</t>
  </si>
  <si>
    <t xml:space="preserve">Banned</t>
  </si>
  <si>
    <t xml:space="preserve">Allowed (per Newsweek); CNBC says auto ban only</t>
  </si>
  <si>
    <t xml:space="preserve">Credit banned for auto only, per Newsweek.</t>
  </si>
  <si>
    <t xml:space="preserve">Newsweek - Where your credit score can/can't raise insurance costs</t>
  </si>
  <si>
    <t xml:space="preserve">https://www.newsweek.com/where-your-credit-score-can-cant-raise-insurance-costs-11885672</t>
  </si>
  <si>
    <t xml:space="preserve">Age/gender rules not captured.</t>
  </si>
  <si>
    <t xml:space="preserve">Allowed, but cannot be the only reason to turn down or charge more</t>
  </si>
  <si>
    <t xml:space="preserve">Age, gender, marital status, location, disability allowed only if the insurer can show greater risk</t>
  </si>
  <si>
    <t xml:space="preserve">Same as gender</t>
  </si>
  <si>
    <t xml:space="preserve">Race, color, religion, national origin may not be used. TDI HelpInsure.com lists which insurers use credit.</t>
  </si>
  <si>
    <t xml:space="preserve">TDI guide wording; underlying statute not read.</t>
  </si>
  <si>
    <t xml:space="preserve">Regulated by s. 626.9741: insurer must disclose use, allow appeals for certain life events, and may not use certain inquiries or medical collections</t>
  </si>
  <si>
    <t xml:space="preserve">Same statute covers personal residential lines</t>
  </si>
  <si>
    <t xml:space="preserve">Statute applies to personal lines motor vehicle and residential insurance.</t>
  </si>
  <si>
    <t xml:space="preserve">Statute text</t>
  </si>
  <si>
    <t xml:space="preserve">Seen in snippets and older-year text; other rating limits (age, gender) not researched.</t>
  </si>
  <si>
    <t xml:space="preserve">Allowed; cannot be sole basis for rejection; insurer may not terminate or raise renewal premium based on credit</t>
  </si>
  <si>
    <t xml:space="preserve">Sex is a permitted rating classification but refusing or terminating because of sex is prohibited</t>
  </si>
  <si>
    <t xml:space="preserve">Age is a permitted classification; 60+ cannot be sole reason for non-renewal</t>
  </si>
  <si>
    <t xml:space="preserve">Classifications include age, sex, marital status, territory, mileage, use and driving experience; unlicensed under 3 years gets an inexperienced-operator surcharge; disclosure and 3-year credit review rules apply.</t>
  </si>
  <si>
    <t xml:space="preserve">DFS page. Confirm exact statutory limits with counsel.</t>
  </si>
  <si>
    <t xml:space="preserve">Prohibited (per The Zebra)</t>
  </si>
  <si>
    <t xml:space="preserve">Marital status also prohibited; driving experience, ZIP and insurance history allowed with limits (The Zebra).</t>
  </si>
  <si>
    <t xml:space="preserve">The Zebra - Car insurance rating factors by state</t>
  </si>
  <si>
    <t xml:space="preserve">https://www.thezebra.com/resources/research/car-insurance-rating-factors-by-state/</t>
  </si>
  <si>
    <t xml:space="preserve">Cannot be used to deny/cancel/non-renew (per Experian)</t>
  </si>
  <si>
    <t xml:space="preserve">Non-group policies prohibited (per The Zebra)</t>
  </si>
  <si>
    <t xml:space="preserve">Allowed per The Zebra</t>
  </si>
  <si>
    <t xml:space="preserve">Most sources say auto credit is banned; The Zebra lists credit history as 'allowed with limitations'; Firstcard says limited but not fully banned.</t>
  </si>
  <si>
    <t xml:space="preserve">Experian - States that restrict credit-based insurance scores</t>
  </si>
  <si>
    <t xml:space="preserve">https://www.experian.com/blogs/ask-experian/which-states-prohibit-or-restrict-the-use-of-credit-based-insurance-scores/</t>
  </si>
  <si>
    <t xml:space="preserve">Resolve with Michigan DIFS / Insurance Code of 1956.</t>
  </si>
  <si>
    <t xml:space="preserve">Allowed with restrictions (per Firstcard)</t>
  </si>
  <si>
    <t xml:space="preserve">Banned (per CNBC)</t>
  </si>
  <si>
    <t xml:space="preserve">Experian lists Maryland among 7 states with strict credit limits.</t>
  </si>
  <si>
    <t xml:space="preserve">CNBC - Insurance rates based on credit history draw scrutiny</t>
  </si>
  <si>
    <t xml:space="preserve">https://www.cnbc.com/2026/04/26/insurance-rates-credit-history.html</t>
  </si>
  <si>
    <t xml:space="preserve">Strict limits (per Experian)</t>
  </si>
  <si>
    <t xml:space="preserve">Details of the limits not captured.</t>
  </si>
  <si>
    <t xml:space="preserve">Allowed (ban struck down)</t>
  </si>
  <si>
    <t xml:space="preserve">A court struck down the state's three-year credit ban in 2021 (MoneyGeek).</t>
  </si>
  <si>
    <t xml:space="preserve">MoneyGeek - Insurers that don't check credit</t>
  </si>
  <si>
    <t xml:space="preserve">https://www.moneygeek.com/insurance/auto/which-insurance-companies-dont-check-credit-score/</t>
  </si>
  <si>
    <t xml:space="preserve">Verify current status with WA OIC.</t>
  </si>
  <si>
    <t xml:space="preserve">All other states</t>
  </si>
  <si>
    <t xml:space="preserve">Generally allowed</t>
  </si>
  <si>
    <t xml:space="preserve">Per Experian, 7 states strictly limit credit use: CA, HI, MD, MA, MI, OR, UT. Bills pending in IA, NY, OK, PA (CNBC).</t>
  </si>
  <si>
    <t xml:space="preserve">46 states + DC</t>
  </si>
  <si>
    <t xml:space="preserve">Do not assume any factor is allowed; check each state's statute.</t>
  </si>
  <si>
    <t xml:space="preserve">Discount</t>
  </si>
  <si>
    <t xml:space="preserve">Category</t>
  </si>
  <si>
    <t xml:space="preserve">State / Scope</t>
  </si>
  <si>
    <t xml:space="preserve">Reported Amount</t>
  </si>
  <si>
    <t xml:space="preserve">Accident prevention course (defensive driving)</t>
  </si>
  <si>
    <t xml:space="preserve">Driver / Vehicle</t>
  </si>
  <si>
    <t xml:space="preserve">Mandated by statute</t>
  </si>
  <si>
    <t xml:space="preserve">Amount not stated</t>
  </si>
  <si>
    <t xml:space="preserve">NY Dept of Financial Services - Auto Insurance Discounts</t>
  </si>
  <si>
    <t xml:space="preserve">https://www.dfs.ny.gov/consumers/auto_insurance/discounts_list</t>
  </si>
  <si>
    <t xml:space="preserve">Must be offered by all NY companies (DFS).</t>
  </si>
  <si>
    <t xml:space="preserve">Electronic tracking device</t>
  </si>
  <si>
    <t xml:space="preserve">Factory-installed anti-lock brakes (ABS)</t>
  </si>
  <si>
    <t xml:space="preserve">Passive restraints (automatic belts / air bags)</t>
  </si>
  <si>
    <t xml:space="preserve">Factory-installed daytime running lamps</t>
  </si>
  <si>
    <t xml:space="preserve">Window glass etching</t>
  </si>
  <si>
    <t xml:space="preserve">Accident prevention course - guaranteed amount</t>
  </si>
  <si>
    <t xml:space="preserve">Driver</t>
  </si>
  <si>
    <t xml:space="preserve">Mandated</t>
  </si>
  <si>
    <t xml:space="preserve">10% via PIRP for approved course</t>
  </si>
  <si>
    <t xml:space="preserve">MoneyGeek - Defensive driver discounts</t>
  </si>
  <si>
    <t xml:space="preserve">https://www.moneygeek.com/insurance/auto/defensive-driver-courses/</t>
  </si>
  <si>
    <t xml:space="preserve">Amount from MoneyGeek; confirm with DFS.</t>
  </si>
  <si>
    <t xml:space="preserve">Defensive driver discount</t>
  </si>
  <si>
    <t xml:space="preserve">Massachusetts, Michigan, Hawaii</t>
  </si>
  <si>
    <t xml:space="preserve">Not offered</t>
  </si>
  <si>
    <t xml:space="preserve">-</t>
  </si>
  <si>
    <t xml:space="preserve">MA, MI, HI</t>
  </si>
  <si>
    <t xml:space="preserve">Per MoneyGeek: none offered regardless of carrier.</t>
  </si>
  <si>
    <t xml:space="preserve">Not offered (by GEICO)</t>
  </si>
  <si>
    <t xml:space="preserve">GEICO - Defensive driving discounts by state</t>
  </si>
  <si>
    <t xml:space="preserve">https://www.geico.com/save/discounts/defensive-driver-discounts/</t>
  </si>
  <si>
    <t xml:space="preserve">Carrier-published</t>
  </si>
  <si>
    <t xml:space="preserve">GEICO-specific; other carriers may differ.</t>
  </si>
  <si>
    <t xml:space="preserve">Massachusetts, Hawaii, Michigan (GEICO)</t>
  </si>
  <si>
    <t xml:space="preserve">MA, HI, MI</t>
  </si>
  <si>
    <t xml:space="preserve">GEICO-specific statement.</t>
  </si>
  <si>
    <t xml:space="preserve">Carrier-optional (GEICO)</t>
  </si>
  <si>
    <t xml:space="preserve">Up to 10% (GEICO)</t>
  </si>
  <si>
    <t xml:space="preserve">GEICO-specific.</t>
  </si>
  <si>
    <t xml:space="preserve">Carrier-optional (no state mandate)</t>
  </si>
  <si>
    <t xml:space="preserve">Up to 10% at most carriers for TDLR-approved course</t>
  </si>
  <si>
    <t xml:space="preserve">Mandated: every insurer must offer</t>
  </si>
  <si>
    <t xml:space="preserve">At least 20% below comparable non-good-driver rate</t>
  </si>
  <si>
    <t xml:space="preserve">Good driver: licensed 3+ consecutive years and no more than one point (CDI). Full statutory definition is Insurance Code 1861.025 - not yet read.</t>
  </si>
  <si>
    <t xml:space="preserve">Driver training / defensive driving discount</t>
  </si>
  <si>
    <t xml:space="preserve">Insurers permitted to offer (optional factor)</t>
  </si>
  <si>
    <t xml:space="preserve">Insurer-determined</t>
  </si>
  <si>
    <t xml:space="preserve">10 CCR 2632.6 authorizes it, per Advisory Notice 2005-02.</t>
  </si>
  <si>
    <t xml:space="preserve">Mature driver course discount (age 55+)</t>
  </si>
  <si>
    <t xml:space="preserve">Mandated: every admitted insurer must provide a reduction</t>
  </si>
  <si>
    <t xml:space="preserve">Insurer-determined percentage</t>
  </si>
  <si>
    <t xml:space="preserve">Principal operators 55+ with DMV-approved course certificate (Ins. Code 11628.3; 13 CCR 346.00). Secondary sites claim 5-15% for three years - unverified.</t>
  </si>
  <si>
    <t xml:space="preserve">Paid-in-full discount / six-month term surcharge</t>
  </si>
  <si>
    <t xml:space="preserve">Policy</t>
  </si>
  <si>
    <t xml:space="preserve">Not permitted</t>
  </si>
  <si>
    <t xml:space="preserve">Six-month premium must be half the annual premium; no paid-in-full discount. Notice dated May 2005; confirm still current.</t>
  </si>
  <si>
    <t xml:space="preserve">Mandated: 3-year discount on liability, collision and no-fault</t>
  </si>
  <si>
    <t xml:space="preserve">Amount set by insurer; must be stated on declarations</t>
  </si>
  <si>
    <t xml:space="preserve">Also up to a four-point reduction on the license record (DMV).</t>
  </si>
  <si>
    <t xml:space="preserve">ABS, daytime running lamps, air bags/automatic belts</t>
  </si>
  <si>
    <t xml:space="preserve">Vehicle</t>
  </si>
  <si>
    <t xml:space="preserve">Required discounts on liability, collision, no-fault and med-pay as described</t>
  </si>
  <si>
    <t xml:space="preserve">Amount stated on declarations</t>
  </si>
  <si>
    <t xml:space="preserve">Anti-theft, electronic tracking and window etching discounts apply to comprehensive.</t>
  </si>
  <si>
    <t xml:space="preserve">Telematics / usage-based</t>
  </si>
  <si>
    <t xml:space="preserve">Usage</t>
  </si>
  <si>
    <t xml:space="preserve">Carrier-optional; data may include miles, time of day, acceleration, braking and GPS location</t>
  </si>
  <si>
    <t xml:space="preserve">Contrast with California, which bars location collection.</t>
  </si>
  <si>
    <t xml:space="preserve">Discounts generally</t>
  </si>
  <si>
    <t xml:space="preserve">Each company decides what to offer and how much</t>
  </si>
  <si>
    <t xml:space="preserve">Not stated</t>
  </si>
  <si>
    <t xml:space="preserve">TDI lists airbags, ABS, antitheft, defensive driving/driver education, multi-car, multi-policy, good record as examples.</t>
  </si>
  <si>
    <t xml:space="preserve">Driver improvement course</t>
  </si>
  <si>
    <t xml:space="preserve">Permitted; discount up to 10% presumed appropriate (2003 text)</t>
  </si>
  <si>
    <t xml:space="preserve">Up to 10%</t>
  </si>
  <si>
    <t xml:space="preserve">Florida Statutes 627.06501 - Driver improvement course discount (2003 text)</t>
  </si>
  <si>
    <t xml:space="preserve">https://flsenate.gov/Laws/Statutes/2003/627.06501</t>
  </si>
  <si>
    <t xml:space="preserve">Old-year text; confirm current.</t>
  </si>
  <si>
    <t xml:space="preserve">Safety course (sections 627.0652)</t>
  </si>
  <si>
    <t xml:space="preserve">Required reduction for approved course; lasts 3 years; insurer may condition on no at-fault accident or moving violation</t>
  </si>
  <si>
    <t xml:space="preserve">Florida Statutes 627.0652 - Safety course discount (2012 text)</t>
  </si>
  <si>
    <t xml:space="preserve">https://www.flsenate.gov/laws/statutes/2012/627.0652</t>
  </si>
  <si>
    <t xml:space="preserve">2012 text; course aimed at drivers 55+ per the text; confirm current.</t>
  </si>
  <si>
    <t xml:space="preserve">Specified equipment discounts</t>
  </si>
  <si>
    <t xml:space="preserve">Section 627.0653 exists (specified motor vehicle equipment)</t>
  </si>
  <si>
    <t xml:space="preserve">Not read</t>
  </si>
  <si>
    <t xml:space="preserve">Only the section title was seen; read the statute.</t>
  </si>
  <si>
    <t xml:space="preserve">Senior / mature driver course</t>
  </si>
  <si>
    <t xml:space="preserve">Varies by state</t>
  </si>
  <si>
    <t xml:space="preserve">Mandated in some states; otherwise carrier-optional</t>
  </si>
  <si>
    <t xml:space="preserve">Typically 5%-15% for 2-3 years (course providers)</t>
  </si>
  <si>
    <t xml:space="preserve">SafeDriver.com - Defensive driving discount 2026</t>
  </si>
  <si>
    <t xml:space="preserve">https://www.safedriver.com/news/defensive-driving-for-insurance-discount-2026-how-much-you-can-really-save</t>
  </si>
  <si>
    <t xml:space="preserve">Multi-state</t>
  </si>
  <si>
    <t xml:space="preserve">Sources disagree on how many states mandate it ('most' vs 'many'); age threshold varies (often 55). Provider is a course seller.</t>
  </si>
  <si>
    <t xml:space="preserve">Good student</t>
  </si>
  <si>
    <t xml:space="preserve">All states (carrier-defined)</t>
  </si>
  <si>
    <t xml:space="preserve">Carrier-optional</t>
  </si>
  <si>
    <t xml:space="preserve">Up to 16% (Insurance.com); up to 25% (State Farm)</t>
  </si>
  <si>
    <t xml:space="preserve">Insurance.com - Auto insurance discounts guide</t>
  </si>
  <si>
    <t xml:space="preserve">https://www.insurance.com/auto-insurance/car-insurance-discounts.html</t>
  </si>
  <si>
    <t xml:space="preserve">Usually needs B / 3.0 average; age cap often 23-25.</t>
  </si>
  <si>
    <t xml:space="preserve">Multi-policy (bundling)</t>
  </si>
  <si>
    <t xml:space="preserve">About 9% on auto on average (Insurance.com)</t>
  </si>
  <si>
    <t xml:space="preserve">Also gives a discount on the home policy.</t>
  </si>
  <si>
    <t xml:space="preserve">Safe driver / good driver</t>
  </si>
  <si>
    <t xml:space="preserve">Up to 30% (Insurance.com)</t>
  </si>
  <si>
    <t xml:space="preserve">Definition varies by insurer.</t>
  </si>
  <si>
    <t xml:space="preserve">Group / affinity membership</t>
  </si>
  <si>
    <t xml:space="preserve">Up to 25% (Insurance.com)</t>
  </si>
  <si>
    <t xml:space="preserve">Driver education under age 21</t>
  </si>
  <si>
    <t xml:space="preserve">Varies by state (State Farm)</t>
  </si>
  <si>
    <t xml:space="preserve">State Farm - Auto insurance discounts</t>
  </si>
  <si>
    <t xml:space="preserve">https://www.statefarm.com/insurance/auto/discounts</t>
  </si>
  <si>
    <t xml:space="preserve">State Farm states discounts vary by state.</t>
  </si>
  <si>
    <t xml:space="preserve">Varies by carrier and state</t>
  </si>
  <si>
    <t xml:space="preserve">See Telematics tab</t>
  </si>
  <si>
    <t xml:space="preserve">Insurify - Telematics car insurance programs</t>
  </si>
  <si>
    <t xml:space="preserve">https://insurify.com/car-insurance/coverage/telematics/</t>
  </si>
  <si>
    <t xml:space="preserve">States have their own laws on how telematics data may be used in rating.</t>
  </si>
  <si>
    <t xml:space="preserve">Carrier</t>
  </si>
  <si>
    <t xml:space="preserve">Program</t>
  </si>
  <si>
    <t xml:space="preserve">Type</t>
  </si>
  <si>
    <t xml:space="preserve">State Availability</t>
  </si>
  <si>
    <t xml:space="preserve">Max / Reported Discount</t>
  </si>
  <si>
    <t xml:space="preserve">Enrollment Discount</t>
  </si>
  <si>
    <t xml:space="preserve">Surcharge Possible?</t>
  </si>
  <si>
    <t xml:space="preserve">Progressive</t>
  </si>
  <si>
    <t xml:space="preserve">Snapshot</t>
  </si>
  <si>
    <t xml:space="preserve">App or plug-in device</t>
  </si>
  <si>
    <t xml:space="preserve">All states except California (Bankrate)</t>
  </si>
  <si>
    <t xml:space="preserve">Progressive: average $322 savings at renewal (reported)</t>
  </si>
  <si>
    <t xml:space="preserve">Yes - in some states (Progressive terms); ~20% of users see an increase at renewal (InsureMojo)</t>
  </si>
  <si>
    <t xml:space="preserve">Bankrate - Are telematics programs worth the discount</t>
  </si>
  <si>
    <t xml:space="preserve">https://www.bankrate.com/insurance/car/are-telematics-programs-worth-the-discount/</t>
  </si>
  <si>
    <t xml:space="preserve">US (not CA)</t>
  </si>
  <si>
    <t xml:space="preserve">Surcharge details differ by source; confirm in state filing. Widely available (47+ states per Insurify).</t>
  </si>
  <si>
    <t xml:space="preserve">State Farm</t>
  </si>
  <si>
    <t xml:space="preserve">Drive Safe &amp; Save</t>
  </si>
  <si>
    <t xml:space="preserve">App / mileage-based</t>
  </si>
  <si>
    <t xml:space="preserve">At least 47 states (Insurify)</t>
  </si>
  <si>
    <t xml:space="preserve">Up to 30%</t>
  </si>
  <si>
    <t xml:space="preserve">10% enrollment (InsureMojo)</t>
  </si>
  <si>
    <t xml:space="preserve">State Farm says no surcharge; Insurify says some programs can raise rates</t>
  </si>
  <si>
    <t xml:space="preserve">US (47+ states)</t>
  </si>
  <si>
    <t xml:space="preserve">Conflict on surcharge; idarb also notes program can change prior low-mileage discount.</t>
  </si>
  <si>
    <t xml:space="preserve">Nationwide</t>
  </si>
  <si>
    <t xml:space="preserve">SmartRide</t>
  </si>
  <si>
    <t xml:space="preserve">Device / app</t>
  </si>
  <si>
    <t xml:space="preserve">Up to 40%</t>
  </si>
  <si>
    <t xml:space="preserve">InsureMojo - Telematics discount programs compared</t>
  </si>
  <si>
    <t xml:space="preserve">https://www.insuremojo.com/telematics-insurance-discount-programs/</t>
  </si>
  <si>
    <t xml:space="preserve">InsureMojo says SmartRide does not track phone use.</t>
  </si>
  <si>
    <t xml:space="preserve">GEICO</t>
  </si>
  <si>
    <t xml:space="preserve">DriveEasy</t>
  </si>
  <si>
    <t xml:space="preserve">App</t>
  </si>
  <si>
    <t xml:space="preserve">Insurify says can raise rates</t>
  </si>
  <si>
    <t xml:space="preserve">Uses driver scores to set safe-driver discounts.</t>
  </si>
  <si>
    <t xml:space="preserve">Allstate</t>
  </si>
  <si>
    <t xml:space="preserve">Drivewise</t>
  </si>
  <si>
    <t xml:space="preserve">App / device</t>
  </si>
  <si>
    <t xml:space="preserve">All states except Alaska and California (Bankrate)</t>
  </si>
  <si>
    <t xml:space="preserve">US (not AK, CA)</t>
  </si>
  <si>
    <t xml:space="preserve">Based on three factors: speeding, hard braking, late-night driving.</t>
  </si>
  <si>
    <t xml:space="preserve">Milewise</t>
  </si>
  <si>
    <t xml:space="preserve">Pay-per-mile</t>
  </si>
  <si>
    <t xml:space="preserve">Designed for low-mileage drivers.</t>
  </si>
  <si>
    <t xml:space="preserve">SmartMiles</t>
  </si>
  <si>
    <t xml:space="preserve">Liberty Mutual / USAA / Travelers</t>
  </si>
  <si>
    <t xml:space="preserve">RightTrack / SafePilot / IntelliDrive</t>
  </si>
  <si>
    <t xml:space="preserve">Various</t>
  </si>
  <si>
    <t xml:space="preserve">QuoteYeti - Telematics tradeoffs</t>
  </si>
  <si>
    <t xml:space="preserve">https://www.quoteyeti.com/blog/telematics-tradeoffs/</t>
  </si>
  <si>
    <t xml:space="preserve">Named as existing programs only; terms not researched.</t>
  </si>
  <si>
    <t xml:space="preserve">All carriers</t>
  </si>
  <si>
    <t xml:space="preserve">New York rule</t>
  </si>
  <si>
    <t xml:space="preserve">Any telematics program</t>
  </si>
  <si>
    <t xml:space="preserve">DFS says discounts may use GPS location, miles, time of day, acceleration and braking data.</t>
  </si>
  <si>
    <t xml:space="preserve">Texas note</t>
  </si>
  <si>
    <t xml:space="preserve">TDI links a page on how driving can lower premiums; not read.</t>
  </si>
  <si>
    <t xml:space="preserve">Item</t>
  </si>
  <si>
    <t xml:space="preserve">Unit / Detail</t>
  </si>
  <si>
    <t xml:space="preserve">Auto (all)</t>
  </si>
  <si>
    <t xml:space="preserve">'Full coverage' is not a real policy type</t>
  </si>
  <si>
    <t xml:space="preserve">NAIC says there is no such thing as 'full coverage'; use specific coverages (liability, collision, comprehensive).</t>
  </si>
  <si>
    <t xml:space="preserve">NAIC Consumer Shopping Tool for Auto Insurance</t>
  </si>
  <si>
    <t xml:space="preserve">https://content.naic.org/sites/default/files/consumer-auto-shopping-tool.pdf</t>
  </si>
  <si>
    <t xml:space="preserve">US</t>
  </si>
  <si>
    <t xml:space="preserve">Use in UI wording.</t>
  </si>
  <si>
    <t xml:space="preserve">Flood - NFIP</t>
  </si>
  <si>
    <t xml:space="preserve">Residential building limit (1-4 family)</t>
  </si>
  <si>
    <t xml:space="preserve">USD</t>
  </si>
  <si>
    <t xml:space="preserve">Lenders Network - Flood insurance mortgage requirements 2026</t>
  </si>
  <si>
    <t xml:space="preserve">https://thelendersnetwork.com/flood-insurance-mortgage-requirements/</t>
  </si>
  <si>
    <t xml:space="preserve">Widely reported across sources; confirm on FEMA/FloodSmart.</t>
  </si>
  <si>
    <t xml:space="preserve">Residential contents limit</t>
  </si>
  <si>
    <t xml:space="preserve">Contents paid on actual-cash-value basis (per Atesa).</t>
  </si>
  <si>
    <t xml:space="preserve">30</t>
  </si>
  <si>
    <t xml:space="preserve">days; waived when bought with a mortgage closing</t>
  </si>
  <si>
    <t xml:space="preserve">Average annual premium</t>
  </si>
  <si>
    <t xml:space="preserve">$900-$1,100</t>
  </si>
  <si>
    <t xml:space="preserve">USD/year</t>
  </si>
  <si>
    <t xml:space="preserve">Estimate</t>
  </si>
  <si>
    <t xml:space="preserve">WalletGrower cites $926; Cover Forge about $900.</t>
  </si>
  <si>
    <t xml:space="preserve">Annual premium increase cap under Risk Rating 2.0</t>
  </si>
  <si>
    <t xml:space="preserve">18%</t>
  </si>
  <si>
    <t xml:space="preserve">per year (WalletGrower citing federal law)</t>
  </si>
  <si>
    <t xml:space="preserve">WalletGrower - Flood insurance 2026</t>
  </si>
  <si>
    <t xml:space="preserve">https://walletgrower.com/insurance/homeowners-insurance/flood-insurance</t>
  </si>
  <si>
    <t xml:space="preserve">Affiliate-linked source; verify with FEMA.</t>
  </si>
  <si>
    <t xml:space="preserve">Share of claims from outside high-risk zones</t>
  </si>
  <si>
    <t xml:space="preserve">20% to 40%+</t>
  </si>
  <si>
    <t xml:space="preserve">varies by source</t>
  </si>
  <si>
    <t xml:space="preserve">Atesa Risk Advisors - Private flood vs NFIP (Florida)</t>
  </si>
  <si>
    <t xml:space="preserve">https://atesariskadvisors.com/blog/florida-private-flood-insurance-vs-nfip-2026</t>
  </si>
  <si>
    <t xml:space="preserve">Cover Forge says ~20%; Atesa says over 40%. Find FEMA figure.</t>
  </si>
  <si>
    <t xml:space="preserve">Authorization status</t>
  </si>
  <si>
    <t xml:space="preserve">Authorized through Dec 11, 2026</t>
  </si>
  <si>
    <t xml:space="preserve">Continuing Appropriations Act, 2027 (P.L. 119-103, Div. A) section 139</t>
  </si>
  <si>
    <t xml:space="preserve">CRS - Overview of Continuing Appropriations for FY2027 (P.L. 119-103, Div. A)</t>
  </si>
  <si>
    <t xml:space="preserve">https://www.congress.gov/crs-product/R49353</t>
  </si>
  <si>
    <t xml:space="preserve">Resolved: the Sept 30, 2026 deadline was extended to Dec 11, 2026. Prior lapses stalled new and renewed NFIP policies; private flood is unaffected. Check again before Dec 11, 2026.</t>
  </si>
  <si>
    <t xml:space="preserve">Flood - Private</t>
  </si>
  <si>
    <t xml:space="preserve">Building limits</t>
  </si>
  <si>
    <t xml:space="preserve">Often above $1,000,000</t>
  </si>
  <si>
    <t xml:space="preserve">10-14</t>
  </si>
  <si>
    <t xml:space="preserve">days (some shorter)</t>
  </si>
  <si>
    <t xml:space="preserve">Earthquake - CEA</t>
  </si>
  <si>
    <t xml:space="preserve">Deductible options</t>
  </si>
  <si>
    <t xml:space="preserve">5%, 10%, 15%, 20%, 25%</t>
  </si>
  <si>
    <t xml:space="preserve">of dwelling coverage</t>
  </si>
  <si>
    <t xml:space="preserve">Homes over $1M dwelling limit, or pre-1980 raised-foundation homes without verified retrofit, only 15%-25%.</t>
  </si>
  <si>
    <t xml:space="preserve">Standard deductible</t>
  </si>
  <si>
    <t xml:space="preserve">15%</t>
  </si>
  <si>
    <t xml:space="preserve">Express Financial - Earthquake insurance in California</t>
  </si>
  <si>
    <t xml:space="preserve">https://expressfinancial.net/p/earthquake-insurance-california</t>
  </si>
  <si>
    <t xml:space="preserve">Retrofit premium discount</t>
  </si>
  <si>
    <t xml:space="preserve">Up to 25%</t>
  </si>
  <si>
    <t xml:space="preserve">of premium</t>
  </si>
  <si>
    <t xml:space="preserve">Loss of use deductible</t>
  </si>
  <si>
    <t xml:space="preserve">None</t>
  </si>
  <si>
    <t xml:space="preserve">Earthquake - CA law</t>
  </si>
  <si>
    <t xml:space="preserve">Insurers must offer earthquake coverage</t>
  </si>
  <si>
    <t xml:space="preserve">Re-offer every other year if declined</t>
  </si>
  <si>
    <t xml:space="preserve">Insurance Code chapter 8.5 (per source)</t>
  </si>
  <si>
    <t xml:space="preserve">Confirm statute with CDI.</t>
  </si>
  <si>
    <t xml:space="preserve">Typical annual premium</t>
  </si>
  <si>
    <t xml:space="preserve">$800-$5,000+</t>
  </si>
  <si>
    <t xml:space="preserve">EarthquakeNearMe - CA earthquake insurance cost</t>
  </si>
  <si>
    <t xml:space="preserve">https://www.earthquakenearme.com/en/blog/earthquake-insurance-california</t>
  </si>
  <si>
    <t xml:space="preserve">Low-reliability source; get CEA premium calculator quotes.</t>
  </si>
  <si>
    <t xml:space="preserve">Earthquake - CA</t>
  </si>
  <si>
    <t xml:space="preserve">Share of homeowners carrying coverage</t>
  </si>
  <si>
    <t xml:space="preserve">About 13%</t>
  </si>
  <si>
    <t xml:space="preserve">of CA homeowners</t>
  </si>
  <si>
    <t xml:space="preserve">Low-reliability source.</t>
  </si>
  <si>
    <t xml:space="preserve">Standard homeowners policies</t>
  </si>
  <si>
    <t xml:space="preserve">Exclude earthquake damage</t>
  </si>
  <si>
    <t xml:space="preserve">HOA master policies also commonly exclude it (same source).</t>
  </si>
  <si>
    <t xml:space="preserve">Umbrella</t>
  </si>
  <si>
    <t xml:space="preserve">$1M personal umbrella annual cost</t>
  </si>
  <si>
    <t xml:space="preserve">$200-$500 typical; over $1,000 possible</t>
  </si>
  <si>
    <t xml:space="preserve">NerdWallet - Umbrella insurance guide</t>
  </si>
  <si>
    <t xml:space="preserve">https://www.nerdwallet.com/insurance/homeowners/learn/umbrella-insurance</t>
  </si>
  <si>
    <t xml:space="preserve">Kiplinger/Trusted Choice: average about $380 for $1-2M.</t>
  </si>
  <si>
    <t xml:space="preserve">Cost of each additional $1M</t>
  </si>
  <si>
    <t xml:space="preserve">$50-$150</t>
  </si>
  <si>
    <t xml:space="preserve">Real Cost Report - Umbrella insurance cost 2026</t>
  </si>
  <si>
    <t xml:space="preserve">https://www.realcostreport.com/insurance/home-insurance/umbrella-insurance-cost/</t>
  </si>
  <si>
    <t xml:space="preserve">Real Cost Report says $50-$75; UseCalcPro says $75-$150.</t>
  </si>
  <si>
    <t xml:space="preserve">Typical required underlying auto limits</t>
  </si>
  <si>
    <t xml:space="preserve">250/500/100</t>
  </si>
  <si>
    <t xml:space="preserve">BI per person / per accident / PD</t>
  </si>
  <si>
    <t xml:space="preserve">UseCalcPro - Umbrella quote calculator</t>
  </si>
  <si>
    <t xml:space="preserve">https://usecalcpro.com/finance/umbrella-insurance-quote-calculator</t>
  </si>
  <si>
    <t xml:space="preserve">Kiplinger cites $250,000 auto and $300,000 home liability. One source says CA/NY/FL often require 500/500/100.</t>
  </si>
  <si>
    <t xml:space="preserve">Typical required underlying home liability</t>
  </si>
  <si>
    <t xml:space="preserve">300000</t>
  </si>
  <si>
    <t xml:space="preserve">Kiplinger - How much umbrella insurance do I need</t>
  </si>
  <si>
    <t xml:space="preserve">https://www.kiplinger.com/personal-finance/insurance/umbrella-insurance/603237/how-much-umbrella-insurance-do-i-need</t>
  </si>
  <si>
    <t xml:space="preserve">Extra cost to raise underlying auto limits</t>
  </si>
  <si>
    <t xml:space="preserve">$100-$200</t>
  </si>
  <si>
    <t xml:space="preserve">Include in total-cost quote.</t>
  </si>
  <si>
    <t xml:space="preserve">Line</t>
  </si>
  <si>
    <t xml:space="preserve">Metric</t>
  </si>
  <si>
    <t xml:space="preserve">Value ($/yr)</t>
  </si>
  <si>
    <t xml:space="preserve">Comparable Group</t>
  </si>
  <si>
    <t xml:space="preserve">Methodology / Definition</t>
  </si>
  <si>
    <t xml:space="preserve">Auto</t>
  </si>
  <si>
    <t xml:space="preserve">National average</t>
  </si>
  <si>
    <t xml:space="preserve">Auto full coverage annual</t>
  </si>
  <si>
    <t xml:space="preserve">35-yr-old, clean record, 12k miles, 100/300/100, $500 deductibles</t>
  </si>
  <si>
    <t xml:space="preserve">InsurTool - Average car insurance cost 2026</t>
  </si>
  <si>
    <t xml:space="preserve">https://insurtool.com/tools/average-car-insurance-cost/</t>
  </si>
  <si>
    <t xml:space="preserve">Methodology not independently verified.</t>
  </si>
  <si>
    <t xml:space="preserve">Insurify, first half 2026</t>
  </si>
  <si>
    <t xml:space="preserve">Insurify - Car insurance report (H1 2026)</t>
  </si>
  <si>
    <t xml:space="preserve">https://insurify.com/car-insurance/report/</t>
  </si>
  <si>
    <t xml:space="preserve">Insurify projects $2,242 by year-end.</t>
  </si>
  <si>
    <t xml:space="preserve">ValuePenguin 2026 ($208/month)</t>
  </si>
  <si>
    <t xml:space="preserve">ValuePenguin - State of Auto Insurance 2026</t>
  </si>
  <si>
    <t xml:space="preserve">https://www.valuepenguin.com/state-of-auto-insurance-2026</t>
  </si>
  <si>
    <t xml:space="preserve">InsuredBetter reports the same figure.</t>
  </si>
  <si>
    <t xml:space="preserve">Cinco Auto Insurance ($223/month)</t>
  </si>
  <si>
    <t xml:space="preserve">Cinco Auto Insurance - Average cost</t>
  </si>
  <si>
    <t xml:space="preserve">https://cincoautoinsurance.com/auto-insurance/cost/</t>
  </si>
  <si>
    <t xml:space="preserve">Agency blog; lower reliability.</t>
  </si>
  <si>
    <t xml:space="preserve">Experian, Aug 2026 (marketplace policies)</t>
  </si>
  <si>
    <t xml:space="preserve">Experian - Average cost of car insurance</t>
  </si>
  <si>
    <t xml:space="preserve">https://www.experian.com/blogs/ask-experian/average-cost-car-insurance/</t>
  </si>
  <si>
    <t xml:space="preserve">Auto minimum coverage annual</t>
  </si>
  <si>
    <t xml:space="preserve">Cinco Auto Insurance</t>
  </si>
  <si>
    <t xml:space="preserve">InsuredBetter / Trusted Choice ($76/month)</t>
  </si>
  <si>
    <t xml:space="preserve">InsuredBetter / Trusted Choice - Car insurance cost 2026</t>
  </si>
  <si>
    <t xml:space="preserve">https://www.insuredbetter.com/car-insurance/compare-auto-coverage/rate-cost/</t>
  </si>
  <si>
    <t xml:space="preserve">Experian, Aug 2026</t>
  </si>
  <si>
    <t xml:space="preserve">Auto - all coverage levels (not in spread)</t>
  </si>
  <si>
    <t xml:space="preserve">Experian overall average</t>
  </si>
  <si>
    <t xml:space="preserve">Not comparable to full-coverage rows.</t>
  </si>
  <si>
    <t xml:space="preserve">Auto - coverage level unspecified (not in spread)</t>
  </si>
  <si>
    <t xml:space="preserve">U.S. News, Aug 2026</t>
  </si>
  <si>
    <t xml:space="preserve">U.S. News - Average cost of car insurance (Aug 2026)</t>
  </si>
  <si>
    <t xml:space="preserve">https://www.usnews.com/insurance/auto/average-cost-of-car-insurance</t>
  </si>
  <si>
    <t xml:space="preserve">Coverage level unspecified.</t>
  </si>
  <si>
    <t xml:space="preserve">Home</t>
  </si>
  <si>
    <t xml:space="preserve">Home national average annual</t>
  </si>
  <si>
    <t xml:space="preserve">NerdWallet analysis of 100+ insurers</t>
  </si>
  <si>
    <t xml:space="preserve">NerdWallet - Average homeowners insurance cost</t>
  </si>
  <si>
    <t xml:space="preserve">https://www.nerdwallet.com/insurance/homeowners/learn/average-homeowners-insurance-cost</t>
  </si>
  <si>
    <t xml:space="preserve">Insurify, mid-2026</t>
  </si>
  <si>
    <t xml:space="preserve">Insurify - Home insurance rates H1 2026</t>
  </si>
  <si>
    <t xml:space="preserve">https://insurify.com/homeowners-insurance/insights/rates-increase-first-half-2026/</t>
  </si>
  <si>
    <t xml:space="preserve">Insurify projected $3,057 for 2026 in March.</t>
  </si>
  <si>
    <t xml:space="preserve">Florida average</t>
  </si>
  <si>
    <t xml:space="preserve">Home - state (not in spread)</t>
  </si>
  <si>
    <t xml:space="preserve">Insurify, H1 2026 (most expensive state)</t>
  </si>
  <si>
    <t xml:space="preserve">Spread summary (formulas)</t>
  </si>
  <si>
    <t xml:space="preserve">Group</t>
  </si>
  <si>
    <t xml:space="preserve">Low ($/yr)</t>
  </si>
  <si>
    <t xml:space="preserve">High ($/yr)</t>
  </si>
  <si>
    <t xml:space="preserve">High vs Low</t>
  </si>
  <si>
    <t xml:space="preserve">Note: ranges above are computed from the rows in the table; if you add or remove rows, update the range references. Do not show one national average as a verdict on a user's premium.</t>
  </si>
  <si>
    <t xml:space="preserve">Jurisdiction</t>
  </si>
  <si>
    <t xml:space="preserve">Status (as reported)</t>
  </si>
  <si>
    <t xml:space="preserve">Why It Matters</t>
  </si>
  <si>
    <t xml:space="preserve">NAIC AI Model Bulletin</t>
  </si>
  <si>
    <t xml:space="preserve">US states</t>
  </si>
  <si>
    <t xml:space="preserve">24 states + DC adopted as of Apr 1, 2026; CA, CO, NY, TX use own frameworks</t>
  </si>
  <si>
    <t xml:space="preserve">Governs insurers' AI use; not brokers. Does not create new liability or a private right of action (per sources).</t>
  </si>
  <si>
    <t xml:space="preserve">Tech Savvy Insurance - States that adopted NAIC AI bulletin</t>
  </si>
  <si>
    <t xml:space="preserve">https://techsavvyinsurance.com/answers/which-states-adopted-naic-ai-model-bulletin/</t>
  </si>
  <si>
    <t xml:space="preserve">Relevant if you later sell tools to carriers.</t>
  </si>
  <si>
    <t xml:space="preserve">Colorado Regulation 10-1-1</t>
  </si>
  <si>
    <t xml:space="preserve">Amended Oct 15, 2025; extends to private passenger auto from Jul 1, 2026</t>
  </si>
  <si>
    <t xml:space="preserve">Governance for insurers using external consumer data and models.</t>
  </si>
  <si>
    <t xml:space="preserve">Meilynx - NAIC AI Model Bulletin explained</t>
  </si>
  <si>
    <t xml:space="preserve">https://www.meilynx.com/reference/naic-ai-model-bulletin</t>
  </si>
  <si>
    <t xml:space="preserve">Federal AI preemption</t>
  </si>
  <si>
    <t xml:space="preserve">Executive order created DOJ AI Litigation Task Force (Jan 10, 2026) to challenge state AI laws</t>
  </si>
  <si>
    <t xml:space="preserve">Could change state AI insurance rules.</t>
  </si>
  <si>
    <t xml:space="preserve">actuary.info - AI regulation in insurance 2026</t>
  </si>
  <si>
    <t xml:space="preserve">https://actuary.info/insights/ai-regulation-insurance-naic-2026</t>
  </si>
  <si>
    <t xml:space="preserve">Situation still evolving.</t>
  </si>
  <si>
    <t xml:space="preserve">TCPA one-to-one consent rule</t>
  </si>
  <si>
    <t xml:space="preserve">US (federal)</t>
  </si>
  <si>
    <t xml:space="preserve">Vacated by 11th Circuit on Jan 24, 2025</t>
  </si>
  <si>
    <t xml:space="preserve">State 'mini-TCPA' laws (FL, OK, WA, TX) still apply; many lead buyers still require seller-specific consent.</t>
  </si>
  <si>
    <t xml:space="preserve">Lead Distro AI - One-to-one consent 2026</t>
  </si>
  <si>
    <t xml:space="preserve">https://www.leaddistro.ai/blog/one-to-one-consent</t>
  </si>
  <si>
    <t xml:space="preserve">Build to one-to-one anyway; get counsel.</t>
  </si>
  <si>
    <t xml:space="preserve">TCPA penalties</t>
  </si>
  <si>
    <t xml:space="preserve">$500-$1,500 per call reported</t>
  </si>
  <si>
    <t xml:space="preserve">InsureLeads - TCPA/one-to-one status 2026</t>
  </si>
  <si>
    <t xml:space="preserve">https://www.getinsureleads.com/blog/fcc-one-to-one-consent-rule-status-update-2026</t>
  </si>
  <si>
    <t xml:space="preserve">Lead-gen vendor source.</t>
  </si>
  <si>
    <t xml:space="preserve">NFIP authorization</t>
  </si>
  <si>
    <t xml:space="preserve">Authorized through Dec 11, 2026 (extended from Sept 30, 2026)</t>
  </si>
  <si>
    <t xml:space="preserve">Next lapse risk is Dec 12, 2026 unless Congress acts.</t>
  </si>
  <si>
    <t xml:space="preserve">CRS Insight - What Happens If the NFIP Lapses?</t>
  </si>
  <si>
    <t xml:space="preserve">https://www.congress.gov/crs-product/IN10835</t>
  </si>
  <si>
    <t xml:space="preserve">CRS Insight and NAHB agree.</t>
  </si>
  <si>
    <t xml:space="preserve">California Sustainable Insurance Strategy</t>
  </si>
  <si>
    <t xml:space="preserve">Catastrophe models and reinsurance costs allowed in rates if insurers commit to write 85% of statewide market share in wildfire-distressed areas; FAIR Plan 29.1% average increase approved effective Oct 15, 2026 (news reports)</t>
  </si>
  <si>
    <t xml:space="preserve">Availability drives whether a home comparison can show any quotes; FAIR Plan plus a DIC policy is a common outcome.</t>
  </si>
  <si>
    <t xml:space="preserve">Regulator source for the strategy; FAIR Plan decision is from news reports.</t>
  </si>
  <si>
    <t xml:space="preserve">California 2026 home insurance laws</t>
  </si>
  <si>
    <t xml:space="preserve">AB 1, AB 226, AB 888, SB 429, SB 495, SB 547 effective Jan 1, 2026</t>
  </si>
  <si>
    <t xml:space="preserve">Changes discounts review, FAIR Plan financing, wildfire claims payouts and non-renewal protections.</t>
  </si>
  <si>
    <t xml:space="preserve">From CDI press release.</t>
  </si>
  <si>
    <t xml:space="preserve">Florida PIP repeal attempts</t>
  </si>
  <si>
    <t xml:space="preserve">SB 522 and HB 769 died in committee on Mar 13, 2026; PIP remains required; next regular session convenes Mar 2, 2027 (per law firms)</t>
  </si>
  <si>
    <t xml:space="preserve">A repeal would replace PIP with mandatory bodily injury liability (proposed 25/50); would change minimums and comparison logic.</t>
  </si>
  <si>
    <t xml:space="preserve">Verify bill status on flsenate.gov.</t>
  </si>
  <si>
    <t xml:space="preserve">Texas nonrenewal notice period</t>
  </si>
  <si>
    <t xml:space="preserve">60 days' notice if policy bought or renewed in 2024; 30 days for 2023 or earlier (TDI wording)</t>
  </si>
  <si>
    <t xml:space="preserve">Check whether the 60-day rule applies to all later policies.</t>
  </si>
  <si>
    <t xml:space="preserve">TDI page wording is date-specific; ask TDI.</t>
  </si>
  <si>
    <t xml:space="preserve">Citizens flood requirement expands</t>
  </si>
  <si>
    <t xml:space="preserve">All remaining Citizens wind policies must carry flood coverage from Jan 1, 2027 (per secondary sources)</t>
  </si>
  <si>
    <t xml:space="preserve">Affects Florida home comparisons: flood coverage becomes a condition of keeping the state-backed policy.</t>
  </si>
  <si>
    <t xml:space="preserve">Confirm on Citizens' site.</t>
  </si>
  <si>
    <t xml:space="preserve">Telematics privacy bills</t>
  </si>
  <si>
    <t xml:space="preserve">5 states (incl. MD SB 984, NC)</t>
  </si>
  <si>
    <t xml:space="preserve">Introduced in 2025-2026 sessions</t>
  </si>
  <si>
    <t xml:space="preserve">Distinguishes opt-in programs from connected-car data sharing.</t>
  </si>
  <si>
    <t xml:space="preserve">InsureMojo - Telematics privacy bills 2026</t>
  </si>
  <si>
    <t xml:space="preserve">https://www.insuremojo.com/telematics-insurance-data-privacy-bills-2026/</t>
  </si>
  <si>
    <t xml:space="preserve">Track bill status individually.</t>
  </si>
  <si>
    <t xml:space="preserve">Minimum liability limit increases</t>
  </si>
  <si>
    <t xml:space="preserve">CA, NC, UT, VA (2025); NJ (2026)</t>
  </si>
  <si>
    <t xml:space="preserve">See State Min Limits tab</t>
  </si>
  <si>
    <t xml:space="preserve">Limits change; keep versioned with effective dates.</t>
  </si>
  <si>
    <t xml:space="preserve">Virginia and NJ conflict; see Conflicts Log.</t>
  </si>
  <si>
    <t xml:space="preserve">Washington credit ban</t>
  </si>
  <si>
    <t xml:space="preserve">Court struck down three-year ban in 2021</t>
  </si>
  <si>
    <t xml:space="preserve">Option</t>
  </si>
  <si>
    <t xml:space="preserve">Licensing / legal implication</t>
  </si>
  <si>
    <t xml:space="preserve">Data type you can show</t>
  </si>
  <si>
    <t xml:space="preserve">Evidence found</t>
  </si>
  <si>
    <t xml:space="preserve">Open questions</t>
  </si>
  <si>
    <t xml:space="preserve">A. Become a licensed agency and integrate carriers directly</t>
  </si>
  <si>
    <t xml:space="preserve">Operate like The Zebra / Insurify: hold producer licenses, connect to carriers, show real-time quotes</t>
  </si>
  <si>
    <t xml:space="preserve">Agents and brokers must be state licensed (CDI). Needs licenses in each state, plus E&amp;O insurance (my note)</t>
  </si>
  <si>
    <t xml:space="preserve">Actual carrier quotes</t>
  </si>
  <si>
    <t xml:space="preserve">The Zebra says it has in-house licensed agents and direct carrier partnerships; Insurify says it integrates with 120+ carriers and has an in-house agency</t>
  </si>
  <si>
    <t xml:space="preserve">https://www.thezebra.com/</t>
  </si>
  <si>
    <t xml:space="preserve">Which states first? Carrier onboarding requirements and timelines?</t>
  </si>
  <si>
    <t xml:space="preserve">B. Partner with an existing licensed marketplace</t>
  </si>
  <si>
    <t xml:space="preserve">Send users to a licensed partner that returns real quotes; earn a referral fee</t>
  </si>
  <si>
    <t xml:space="preserve">Depends on the partner's license and your referral flow; needs counsel</t>
  </si>
  <si>
    <t xml:space="preserve">Partner-provided quotes</t>
  </si>
  <si>
    <t xml:space="preserve">Insurify says it earns a commission on purchases; The Zebra says it earns money from carriers</t>
  </si>
  <si>
    <t xml:space="preserve">https://insurify.com/car-insurance/</t>
  </si>
  <si>
    <t xml:space="preserve">Do partners offer white-label or API access to a new site? Not found publicly.</t>
  </si>
  <si>
    <t xml:space="preserve">C. Lead-generation model</t>
  </si>
  <si>
    <t xml:space="preserve">Collect user details and hand them to agents or carriers; no live quotes</t>
  </si>
  <si>
    <t xml:space="preserve">Consent rules (TCPA, state laws); possible producer licensing questions</t>
  </si>
  <si>
    <t xml:space="preserve">No quotes; only referrals</t>
  </si>
  <si>
    <t xml:space="preserve">Compare.com describes EverQuote as lead-gen without real-time quotes</t>
  </si>
  <si>
    <t xml:space="preserve">https://www.compare.com/auto-insurance/compare-insurance-companies/best-car-insurance-comparison-sites</t>
  </si>
  <si>
    <t xml:space="preserve">Consent language; which states treat this as solicitation?</t>
  </si>
  <si>
    <t xml:space="preserve">D. Buy rate-filing data for estimates</t>
  </si>
  <si>
    <t xml:space="preserve">License ZIP-level rate filing data to show estimated ranges</t>
  </si>
  <si>
    <t xml:space="preserve">Data license terms; must label as Estimate, never as quote</t>
  </si>
  <si>
    <t xml:space="preserve">Estimates only</t>
  </si>
  <si>
    <t xml:space="preserve">The Zebra says its rating tool uses ZIP-level filings from Quadrant Information Services and S&amp;P Global; Insurify also cites Quadrant</t>
  </si>
  <si>
    <t xml:space="preserve">https://www.thezebra.com/auto-insurance/</t>
  </si>
  <si>
    <t xml:space="preserve">Pricing and public-display rights for this data not found.</t>
  </si>
  <si>
    <t xml:space="preserve">E. Education and tools only (recommended first)</t>
  </si>
  <si>
    <t xml:space="preserve">No quotes; explainers, calculators, checklists, questions to ask insurers</t>
  </si>
  <si>
    <t xml:space="preserve">Lowest licensing exposure, but still needs disclaimers and privacy compliance; confirm with counsel</t>
  </si>
  <si>
    <t xml:space="preserve">Educational content and user-entered numbers</t>
  </si>
  <si>
    <t xml:space="preserve">Consistent with CDI's own guide, which tells consumers to obtain written quotes from insurers</t>
  </si>
  <si>
    <t xml:space="preserve">None blocking.</t>
  </si>
  <si>
    <t xml:space="preserve">I found no publicly documented, self-serve quote API for a new entrant. These integrations appear to be negotiated business partnerships (my inference).</t>
  </si>
  <si>
    <t xml:space="preserve">#</t>
  </si>
  <si>
    <t xml:space="preserve">Question for insurance-regulatory counsel</t>
  </si>
  <si>
    <t xml:space="preserve">Why it matters (from the research)</t>
  </si>
  <si>
    <t xml:space="preserve">Priority</t>
  </si>
  <si>
    <t xml:space="preserve">Status</t>
  </si>
  <si>
    <t xml:space="preserve">Licensing</t>
  </si>
  <si>
    <t xml:space="preserve">Does an education-and-calculator site that collects no contact details need any license in California or other states?</t>
  </si>
  <si>
    <t xml:space="preserve">Agents and brokers must be licensed (CDI); the line between education and solicitation varies by state</t>
  </si>
  <si>
    <t xml:space="preserve">High</t>
  </si>
  <si>
    <t xml:space="preserve">Open</t>
  </si>
  <si>
    <t xml:space="preserve">If we later refer users to carriers or agents, what licenses are needed and may we receive referral fees?</t>
  </si>
  <si>
    <t xml:space="preserve">Referral or lead-gen revenue is the main planned business model</t>
  </si>
  <si>
    <t xml:space="preserve">Advertising</t>
  </si>
  <si>
    <t xml:space="preserve">What rules govern comparison claims, 'estimate' labels and any 'lower displayed premium' wording?</t>
  </si>
  <si>
    <t xml:space="preserve">Spec requires never presenting an estimate as a quote; states regulate insurance advertising</t>
  </si>
  <si>
    <t xml:space="preserve">Consent</t>
  </si>
  <si>
    <t xml:space="preserve">What consent language do we need for phone, text and email contact, given the vacated federal one-to-one rule and state mini-TCPA laws?</t>
  </si>
  <si>
    <t xml:space="preserve">Penalties can run $500-$1,500 per call; state laws (FL, OK, WA, TX) still apply</t>
  </si>
  <si>
    <t xml:space="preserve">Privacy</t>
  </si>
  <si>
    <t xml:space="preserve">What CCPA/CPRA and other state privacy duties apply to VINs, driver data, and uploaded policy documents? Retention and breach obligations?</t>
  </si>
  <si>
    <t xml:space="preserve">Site will hold sensitive personal and financial data</t>
  </si>
  <si>
    <t xml:space="preserve">AI / advice</t>
  </si>
  <si>
    <t xml:space="preserve">Does the policy-document analyzer or 'coverage gap' output risk being treated as insurance advice? What disclaimers and human-review steps are appropriate?</t>
  </si>
  <si>
    <t xml:space="preserve">No case law found on consumer comparison-site AI; hallucination risks in document extraction</t>
  </si>
  <si>
    <t xml:space="preserve">AI regulation</t>
  </si>
  <si>
    <t xml:space="preserve">Do the NAIC AI bulletin or Colorado Reg 10-1-1 apply to us if we sell tools to carriers or agents?</t>
  </si>
  <si>
    <t xml:space="preserve">Bulletin governs insurers; Colorado rule extends to private passenger auto from Jul 1, 2026</t>
  </si>
  <si>
    <t xml:space="preserve">Medium</t>
  </si>
  <si>
    <t xml:space="preserve">Disclosure</t>
  </si>
  <si>
    <t xml:space="preserve">How must we disclose carrier payments and ensure ordering is not influenced by them?</t>
  </si>
  <si>
    <t xml:space="preserve">Neutral labels and commercial-relationship disclosure are core to the concept</t>
  </si>
  <si>
    <t xml:space="preserve">Third-party data</t>
  </si>
  <si>
    <t xml:space="preserve">May we display NAIC materials and licensed rate-filing data publicly, and on what terms?</t>
  </si>
  <si>
    <t xml:space="preserve">NAIC tool has copyright terms; rate data comes from commercial providers</t>
  </si>
  <si>
    <t xml:space="preserve">Telematics content</t>
  </si>
  <si>
    <t xml:space="preserve">Are there restrictions on how we describe telematics programs, especially in California?</t>
  </si>
  <si>
    <t xml:space="preserve">CA regulation limits devices to mileage collection; state privacy bills pending</t>
  </si>
  <si>
    <t xml:space="preserve">California rules</t>
  </si>
  <si>
    <t xml:space="preserve">Please confirm our reading of 10 CCR 2632.5 (approved rating factors) and Advisory Notice 2005-02 (no paid-in-full discount; six-month premium equals half of annual).</t>
  </si>
  <si>
    <t xml:space="preserve">We derived 'credit, gender and age not permitted' from the regulation text</t>
  </si>
  <si>
    <t xml:space="preserve">Terms</t>
  </si>
  <si>
    <t xml:space="preserve">Terms of service, limitation of liability, arbitration and E&amp;O insurance for the site?</t>
  </si>
  <si>
    <t xml:space="preserve">Standard protections for a consumer advice product</t>
  </si>
  <si>
    <t xml:space="preserve">Minors</t>
  </si>
  <si>
    <t xml:space="preserve">How do we handle teen-driver inputs and users under 18?</t>
  </si>
  <si>
    <t xml:space="preserve">Spec targets young drivers and families</t>
  </si>
  <si>
    <t xml:space="preserve">California home</t>
  </si>
  <si>
    <t xml:space="preserve">How should we present FAIR Plan plus difference-in-conditions coverage without appearing to recommend a product?</t>
  </si>
  <si>
    <t xml:space="preserve">CDI says FAIR Plan is a basic fire policy with no liability; a supplemental policy should be considered</t>
  </si>
  <si>
    <t xml:space="preserve">What rules apply if we display or compute a replacement-cost estimate for a home?</t>
  </si>
  <si>
    <t xml:space="preserve">CDI guide says an estimate given to an applicant who buys must be provided in writing</t>
  </si>
  <si>
    <t xml:space="preserve">Can we link to or reuse CDI tools (Home Insurance Finder) and describe wildfire risk score appeal rights?</t>
  </si>
  <si>
    <t xml:space="preserve">Regulation gives policyholders disclosure and appeal rights; tool terms unknown</t>
  </si>
  <si>
    <t xml:space="preserve">Low</t>
  </si>
  <si>
    <t xml:space="preserve">May credit information be used in California homeowners underwriting or rating, and how should we describe this?</t>
  </si>
  <si>
    <t xml:space="preserve">Sources conflict and no explicit statute was found</t>
  </si>
  <si>
    <t xml:space="preserve">Do Texas, Florida or New York impose rules on how a comparison site describes credit use, discounts, or no-fault/PIP requirements?</t>
  </si>
  <si>
    <t xml:space="preserve">Each state regulates rating disclosure and discounts differently (e.g., NY mandated discounts, FL credit statute, TX rate rules)</t>
  </si>
  <si>
    <t xml:space="preserve">Multi-state home</t>
  </si>
  <si>
    <t xml:space="preserve">How should we present state-backed pools (TWIA, Citizens, Texas FAIR Plan) and percentage wind/hurricane deductibles without appearing to recommend a product?</t>
  </si>
  <si>
    <t xml:space="preserve">Availability and deductibles drive real cost; these pools are last-resort or limited-peril</t>
  </si>
  <si>
    <t xml:space="preserve">Accessibility</t>
  </si>
  <si>
    <t xml:space="preserve">What ADA/WCAG obligations apply?</t>
  </si>
  <si>
    <t xml:space="preserve">Spec requires an accessible site</t>
  </si>
  <si>
    <t xml:space="preserve">This is a list of questions to bring to counsel. It is not legal advice and does not replace a lawyer's review.</t>
  </si>
  <si>
    <t xml:space="preserve">Data Set</t>
  </si>
  <si>
    <t xml:space="preserve">Primary Source to Check</t>
  </si>
  <si>
    <t xml:space="preserve">Owner (assign)</t>
  </si>
  <si>
    <t xml:space="preserve">Review Every (days)</t>
  </si>
  <si>
    <t xml:space="preserve">Trigger Events</t>
  </si>
  <si>
    <t xml:space="preserve">Last Verified</t>
  </si>
  <si>
    <t xml:space="preserve">Next Review Due</t>
  </si>
  <si>
    <t xml:space="preserve">California auto - minimum limits and coverages</t>
  </si>
  <si>
    <t xml:space="preserve">CA DMV and CDI pages; Insurance Code 11580.1</t>
  </si>
  <si>
    <t xml:space="preserve">New legislation; Jan 1 effective dates; CDI bulletins</t>
  </si>
  <si>
    <t xml:space="preserve">California auto - rating factors and discounts</t>
  </si>
  <si>
    <t xml:space="preserve">10 CCR 2632.5, 2632.12; Ins. Code 1861.02, 11628.3; CDI advisory notices</t>
  </si>
  <si>
    <t xml:space="preserve">CDI regulation changes; new advisory notices</t>
  </si>
  <si>
    <t xml:space="preserve">California home - coverage rules and consumer rights</t>
  </si>
  <si>
    <t xml:space="preserve">CDI Form 401; CDI earthquake and flood pages; Insurance Code</t>
  </si>
  <si>
    <t xml:space="preserve">New CDI guide revision; new legislation (Jan 1 effective dates)</t>
  </si>
  <si>
    <t xml:space="preserve">California home - FAIR Plan, SIS, wildfire discounts</t>
  </si>
  <si>
    <t xml:space="preserve">CDI press releases and orders; FAIR Plan site; 10 CCR 2644.9</t>
  </si>
  <si>
    <t xml:space="preserve">FAIR Plan rate orders; Safer from Wildfires updates under AB 1; market exits or entries</t>
  </si>
  <si>
    <t xml:space="preserve">Texas, Florida, New York - auto rules</t>
  </si>
  <si>
    <t xml:space="preserve">TDI; FLHSMV and Florida Statutes; NY DFS and Insurance Law</t>
  </si>
  <si>
    <t xml:space="preserve">Legislative sessions (FL Mar 2027); regulator guide revisions</t>
  </si>
  <si>
    <t xml:space="preserve">Texas and Florida home rules</t>
  </si>
  <si>
    <t xml:space="preserve">TDI; TWIA; Florida DFS and OIR; Citizens; Florida Statutes 627.351, 627.701</t>
  </si>
  <si>
    <t xml:space="preserve">Citizens flood phase-in; hurricane season; TWIA limit changes</t>
  </si>
  <si>
    <t xml:space="preserve">Other states - minimum liability limits</t>
  </si>
  <si>
    <t xml:space="preserve">Each state DOI / DMV site</t>
  </si>
  <si>
    <t xml:space="preserve">Legislative sessions; Jan 1 and Jul 1 effective dates</t>
  </si>
  <si>
    <t xml:space="preserve">Rating factor rules by state</t>
  </si>
  <si>
    <t xml:space="preserve">State statutes and DOI pages</t>
  </si>
  <si>
    <t xml:space="preserve">New bills on credit, gender or age use</t>
  </si>
  <si>
    <t xml:space="preserve">Discount availability by state</t>
  </si>
  <si>
    <t xml:space="preserve">State DOI pages; carrier filings</t>
  </si>
  <si>
    <t xml:space="preserve">Carrier filing changes</t>
  </si>
  <si>
    <t xml:space="preserve">Telematics programs</t>
  </si>
  <si>
    <t xml:space="preserve">Carrier sites and state filings</t>
  </si>
  <si>
    <t xml:space="preserve">New program launches; privacy bills</t>
  </si>
  <si>
    <t xml:space="preserve">NFIP authorization status</t>
  </si>
  <si>
    <t xml:space="preserve">FEMA; Congress.gov</t>
  </si>
  <si>
    <t xml:space="preserve">Funding deadlines; shutdown risk (next: Dec 11, 2026)</t>
  </si>
  <si>
    <t xml:space="preserve">CEA earthquake terms</t>
  </si>
  <si>
    <t xml:space="preserve">earthquakeauthority.com</t>
  </si>
  <si>
    <t xml:space="preserve">CEA rate or product changes</t>
  </si>
  <si>
    <t xml:space="preserve">Price benchmarks</t>
  </si>
  <si>
    <t xml:space="preserve">Source publishers; NAIC database reports</t>
  </si>
  <si>
    <t xml:space="preserve">New annual reports; rate filings</t>
  </si>
  <si>
    <t xml:space="preserve">Regulatory Watch items</t>
  </si>
  <si>
    <t xml:space="preserve">NAIC, state DOIs, Congress.gov</t>
  </si>
  <si>
    <t xml:space="preserve">Any new bulletin or law</t>
  </si>
  <si>
    <t xml:space="preserve">Primary sources listed in the log</t>
  </si>
  <si>
    <t xml:space="preserve">When a conflict is resolved</t>
  </si>
  <si>
    <t xml:space="preserve">Source URLs (link check)</t>
  </si>
  <si>
    <t xml:space="preserve">Sources tab</t>
  </si>
  <si>
    <t xml:space="preserve">Broken links</t>
  </si>
  <si>
    <t xml:space="preserve">Disclosures and legal language</t>
  </si>
  <si>
    <t xml:space="preserve">Counsel</t>
  </si>
  <si>
    <t xml:space="preserve">Law changes; new business model</t>
  </si>
  <si>
    <t xml:space="preserve">Yellow cells: assign an owner. Blue cells: edit the review interval and Last Verified date after each check. Next Review Due and Status are formulas. Review intervals are suggestions, not researched requirements.</t>
  </si>
  <si>
    <t xml:space="preserve">Source A says</t>
  </si>
  <si>
    <t xml:space="preserve">Source B says</t>
  </si>
  <si>
    <t xml:space="preserve">What to verify</t>
  </si>
  <si>
    <t xml:space="preserve">Where to verify</t>
  </si>
  <si>
    <t xml:space="preserve">Resolved?</t>
  </si>
  <si>
    <t xml:space="preserve">Resolution</t>
  </si>
  <si>
    <t xml:space="preserve">Virginia minimum liability</t>
  </si>
  <si>
    <t xml:space="preserve">50/100/25 (CarInsurance.com, LiabilityVsFullCoverage)</t>
  </si>
  <si>
    <t xml:space="preserve">30/60/20 (Coverage Criteria)</t>
  </si>
  <si>
    <t xml:space="preserve">Current statutory minimum and effective date</t>
  </si>
  <si>
    <t xml:space="preserve">VA DMV / VA Bureau of Insurance</t>
  </si>
  <si>
    <t xml:space="preserve">No</t>
  </si>
  <si>
    <t xml:space="preserve">Hawaii minimum liability</t>
  </si>
  <si>
    <t xml:space="preserve">40/80/20 in 2026 (Beach Insurance)</t>
  </si>
  <si>
    <t xml:space="preserve">20/40/10 (implied prior limit)</t>
  </si>
  <si>
    <t xml:space="preserve">Whether the 2026 increase is enacted</t>
  </si>
  <si>
    <t xml:space="preserve">Hawaii Insurance Division</t>
  </si>
  <si>
    <t xml:space="preserve">New Jersey minimum liability</t>
  </si>
  <si>
    <t xml:space="preserve">35/70/25 effective Jan 1, 2026 (3 sources)</t>
  </si>
  <si>
    <t xml:space="preserve">Older two-tier structure listed (Coverage Criteria, Feb 2026)</t>
  </si>
  <si>
    <t xml:space="preserve">Current Basic and Standard policy limits</t>
  </si>
  <si>
    <t xml:space="preserve">NJ Dept of Banking and Insurance</t>
  </si>
  <si>
    <t xml:space="preserve">Number of PIP-required states</t>
  </si>
  <si>
    <t xml:space="preserve">13 (CarInsurance.com)</t>
  </si>
  <si>
    <t xml:space="preserve">14 (Coverage Criteria) or 16 + DC (ChooseFI)</t>
  </si>
  <si>
    <t xml:space="preserve">Which states require PIP</t>
  </si>
  <si>
    <t xml:space="preserve">State statutes / NAIC</t>
  </si>
  <si>
    <t xml:space="preserve">Michigan credit use for auto</t>
  </si>
  <si>
    <t xml:space="preserve">Banned (most sources)</t>
  </si>
  <si>
    <t xml:space="preserve">Allowed with limitations (The Zebra); limited not banned (Firstcard)</t>
  </si>
  <si>
    <t xml:space="preserve">Current Insurance Code language</t>
  </si>
  <si>
    <t xml:space="preserve">Michigan DIFS</t>
  </si>
  <si>
    <t xml:space="preserve">California allowed rating factors</t>
  </si>
  <si>
    <t xml:space="preserve">ZIP and marital status allowed with limits (The Zebra)</t>
  </si>
  <si>
    <t xml:space="preserve">Limited to driving record, mileage, experience (Firstcard)</t>
  </si>
  <si>
    <t xml:space="preserve">Prop 103 regulations</t>
  </si>
  <si>
    <t xml:space="preserve">CA Dept of Insurance</t>
  </si>
  <si>
    <t xml:space="preserve">Yes</t>
  </si>
  <si>
    <t xml:space="preserve">Resolved from primary text (10 CCR 2632.5): three mandatory factors plus an approved optional list that includes ZIP-based claims bands and marital status. Neither source was fully right.</t>
  </si>
  <si>
    <t xml:space="preserve">Progressive / State Farm telematics surcharge</t>
  </si>
  <si>
    <t xml:space="preserve">Progressive can surcharge in some states; State Farm says no surcharge</t>
  </si>
  <si>
    <t xml:space="preserve">Insurify: some programs can raise rates</t>
  </si>
  <si>
    <t xml:space="preserve">State-by-state filing terms</t>
  </si>
  <si>
    <t xml:space="preserve">Carrier filings / state DOI</t>
  </si>
  <si>
    <t xml:space="preserve">Share of NFIP claims outside high-risk zones</t>
  </si>
  <si>
    <t xml:space="preserve">About 20% (Cover Forge)</t>
  </si>
  <si>
    <t xml:space="preserve">Over 40% (Atesa)</t>
  </si>
  <si>
    <t xml:space="preserve">FEMA claims data</t>
  </si>
  <si>
    <t xml:space="preserve">FEMA / FloodSmart</t>
  </si>
  <si>
    <t xml:space="preserve">NFIP authorization after Sept 30, 2026</t>
  </si>
  <si>
    <t xml:space="preserve">Expires Sept 30, 2026 (FEMA, NAR)</t>
  </si>
  <si>
    <t xml:space="preserve">CRS item references Dec 11, 2026</t>
  </si>
  <si>
    <t xml:space="preserve">Whether an extension passed</t>
  </si>
  <si>
    <t xml:space="preserve">FEMA, Congress.gov</t>
  </si>
  <si>
    <t xml:space="preserve">Resolved: authorized through Dec 11, 2026 (CRS; NAHB).</t>
  </si>
  <si>
    <t xml:space="preserve">U.S. auto average premium</t>
  </si>
  <si>
    <t xml:space="preserve">$1,820 (InsurTool) full coverage</t>
  </si>
  <si>
    <t xml:space="preserve">$2,922 (Experian) full coverage</t>
  </si>
  <si>
    <t xml:space="preserve">Methodology of each; use ranges, not one number</t>
  </si>
  <si>
    <t xml:space="preserve">Source methodologies / NAIC</t>
  </si>
  <si>
    <t xml:space="preserve">Umbrella cost per additional $1M</t>
  </si>
  <si>
    <t xml:space="preserve">$50-$75 (Real Cost Report)</t>
  </si>
  <si>
    <t xml:space="preserve">$75-$150 (UseCalcPro)</t>
  </si>
  <si>
    <t xml:space="preserve">Carrier rate quotes</t>
  </si>
  <si>
    <t xml:space="preserve">Carrier quotes</t>
  </si>
  <si>
    <t xml:space="preserve">Senior driver course discount mandates</t>
  </si>
  <si>
    <t xml:space="preserve">'Most states' (Insurance.com)</t>
  </si>
  <si>
    <t xml:space="preserve">'Many states' (SafeDriver.com)</t>
  </si>
  <si>
    <t xml:space="preserve">Which states mandate it and age thresholds</t>
  </si>
  <si>
    <t xml:space="preserve">State DOIs</t>
  </si>
  <si>
    <t xml:space="preserve">Florida Citizens policy count</t>
  </si>
  <si>
    <t xml:space="preserve">Over 1.2 million (Louis Law Group, Apr 2026)</t>
  </si>
  <si>
    <t xml:space="preserve">Under 400,000 (Lewis Insurance, Jan 2026)</t>
  </si>
  <si>
    <t xml:space="preserve">Current Citizens policy count and date</t>
  </si>
  <si>
    <t xml:space="preserve">Citizens Property Insurance Corporation; OIR</t>
  </si>
  <si>
    <t xml:space="preserve">Texas TWIA dwelling limit</t>
  </si>
  <si>
    <t xml:space="preserve">About $1.8 million (agency blogs)</t>
  </si>
  <si>
    <t xml:space="preserve">Commissioner disapproved a proposed increase to $1,809,000 (TDI Order 2025-9540, per an agency blog)</t>
  </si>
  <si>
    <t xml:space="preserve">Current TWIA maximum limits</t>
  </si>
  <si>
    <t xml:space="preserve">TWIA; TDI order</t>
  </si>
  <si>
    <t xml:space="preserve">Florida auto cancellation / nonrenewal notice rules</t>
  </si>
  <si>
    <t xml:space="preserve">627.728: 45 days for cancellation (10 for nonpayment); appeal right to OIR</t>
  </si>
  <si>
    <t xml:space="preserve">626.9201: 45 days for nonrenewal, but it sits in the surplus lines part of the code</t>
  </si>
  <si>
    <t xml:space="preserve">Which section governs nonrenewal of private passenger auto in Florida</t>
  </si>
  <si>
    <t xml:space="preserve">Florida Statutes 627.728 and related; OIR / DFS</t>
  </si>
  <si>
    <t xml:space="preserve">Texas PIP minimum amount</t>
  </si>
  <si>
    <t xml:space="preserve">TDI: PIP included unless rejected; amount not stated</t>
  </si>
  <si>
    <t xml:space="preserve">Law-firm blog: insurers must offer $2,500 PIP</t>
  </si>
  <si>
    <t xml:space="preserve">Statutory PIP amount</t>
  </si>
  <si>
    <t xml:space="preserve">Texas Insurance Code 1952 subchapter D</t>
  </si>
  <si>
    <t xml:space="preserve">California homeowners credit use</t>
  </si>
  <si>
    <t xml:space="preserve">Experian (2025): CA insurers do not use credit for home rates</t>
  </si>
  <si>
    <t xml:space="preserve">Older reports: some insurers used credit in underwriting; no explicit statute found</t>
  </si>
  <si>
    <t xml:space="preserve">Whether credit may be used in CA homeowners underwriting or rating</t>
  </si>
  <si>
    <t xml:space="preserve">CDI; Insurance Code; CDI homeowners rate filing rules</t>
  </si>
  <si>
    <t xml:space="preserve">Safer from Wildfires legal citation</t>
  </si>
  <si>
    <t xml:space="preserve">Insurance Code 2644.9 (several secondary sites)</t>
  </si>
  <si>
    <t xml:space="preserve">Title 10 California Code of Regulations section 2644.9 (CDI framing; RFF paper)</t>
  </si>
  <si>
    <t xml:space="preserve">Correct citation</t>
  </si>
  <si>
    <t xml:space="preserve">CDI regulation text</t>
  </si>
  <si>
    <t xml:space="preserve">It is a Title 10 regulation (10 CCR 2644.9), not an Insurance Code section. Use the regulation citation.</t>
  </si>
  <si>
    <t xml:space="preserve">California FAIR Plan policy count</t>
  </si>
  <si>
    <t xml:space="preserve">668,600 at end-2025 (InsuranceNewsNet)</t>
  </si>
  <si>
    <t xml:space="preserve">About 697,000 in June 2026 (CalMatters); 550,000+ (Coverage Cat, looks stale)</t>
  </si>
  <si>
    <t xml:space="preserve">Current policy count and date</t>
  </si>
  <si>
    <t xml:space="preserve">California FAIR Plan / CDI data</t>
  </si>
  <si>
    <t xml:space="preserve">California cash deposit / surety bond amount</t>
  </si>
  <si>
    <t xml:space="preserve">$35,000 (CDI Form 101, rev. Feb 5, 2025)</t>
  </si>
  <si>
    <t xml:space="preserve">$75,000 (DMV page, modified Jul 10, 2025)</t>
  </si>
  <si>
    <t xml:space="preserve">Current statutory amount</t>
  </si>
  <si>
    <t xml:space="preserve">DMV Insurance Unit; Vehicle Code financial responsibility sections</t>
  </si>
  <si>
    <t xml:space="preserve">Resolved: $75,000 under SB 1107 and the DMV page; CDI Form 101 is out of date.</t>
  </si>
  <si>
    <t xml:space="preserve">Publisher Type</t>
  </si>
  <si>
    <t xml:space="preserve">URL</t>
  </si>
  <si>
    <t xml:space="preserve">Reliability / Commercial Note</t>
  </si>
  <si>
    <t xml:space="preserve">Date Accessed</t>
  </si>
  <si>
    <t xml:space="preserve">Carrier's own statement; applies to GEICO only.</t>
  </si>
  <si>
    <t xml:space="preserve">States that discounts vary by state.</t>
  </si>
  <si>
    <t xml:space="preserve">Comparison marketplace (earns referral fees)</t>
  </si>
  <si>
    <t xml:space="preserve">Comparison marketplace data.</t>
  </si>
  <si>
    <t xml:space="preserve">Comparison marketplace.</t>
  </si>
  <si>
    <t xml:space="preserve">Dated Oct 2025; verify against state law.</t>
  </si>
  <si>
    <t xml:space="preserve">Publisher / media</t>
  </si>
  <si>
    <t xml:space="preserve">Dated Dec 2025.</t>
  </si>
  <si>
    <t xml:space="preserve">Based on policies sold through Experian's marketplace.</t>
  </si>
  <si>
    <t xml:space="preserve">Dated Mar 2025.</t>
  </si>
  <si>
    <t xml:space="preserve">News report.</t>
  </si>
  <si>
    <t xml:space="preserve">News report; not the CDI decision document.</t>
  </si>
  <si>
    <t xml:space="preserve">Cites Trusted Choice.</t>
  </si>
  <si>
    <t xml:space="preserve">Notes Washington credit ban struck down in 2021.</t>
  </si>
  <si>
    <t xml:space="preserve">Analysis of 100+ insurers' pricing data.</t>
  </si>
  <si>
    <t xml:space="preserve">Research paper describing 10 CCR 2644.9 disclosure and appeal rights.</t>
  </si>
  <si>
    <t xml:space="preserve">Coverage level not specified in snippet.</t>
  </si>
  <si>
    <t xml:space="preserve">Quotes a CDI-side view that homeowners rate filings depending on credit are not approved. Old.</t>
  </si>
  <si>
    <t xml:space="preserve">Regulator / government</t>
  </si>
  <si>
    <t xml:space="preserve">Regulation text; confirm against official source.</t>
  </si>
  <si>
    <t xml:space="preserve">Regulation text; confirm against the official California Code of Regulations.</t>
  </si>
  <si>
    <t xml:space="preserve">Primary source; cites Insurance Code section 11580.1(b).</t>
  </si>
  <si>
    <t xml:space="preserve">Regulator page; primary source.</t>
  </si>
  <si>
    <t xml:space="preserve">Regulator page; says CDI does not regulate the NFIP.</t>
  </si>
  <si>
    <t xml:space="preserve">Regulator flyer; primary source.</t>
  </si>
  <si>
    <t xml:space="preserve">Regulator consumer guide; primary source. Its $35,000 deposit/bond figure conflicts with DMV's $75,000.</t>
  </si>
  <si>
    <t xml:space="preserve">Confirms SB 1107 limit increase beginning 2025; CLCA limits unchanged.</t>
  </si>
  <si>
    <t xml:space="preserve">Regulator consumer guide; primary source.</t>
  </si>
  <si>
    <t xml:space="preserve">Regulator page; links to the full regulation text.</t>
  </si>
  <si>
    <t xml:space="preserve">Regulator page on the 85 percent commitment.</t>
  </si>
  <si>
    <t xml:space="preserve">Statute text via Justia.</t>
  </si>
  <si>
    <t xml:space="preserve">FindLaw warns text may not reflect the latest law; verify on leginfo.legislature.ca.gov.</t>
  </si>
  <si>
    <t xml:space="preserve">Statute text via Justia; snippet showed subdivisions (a) and (b) only.</t>
  </si>
  <si>
    <t xml:space="preserve">Old notice; confirm it has not been superseded.</t>
  </si>
  <si>
    <t xml:space="preserve">Regulator press release; describes AB 1, AB 226, AB 888, SB 429, SB 495, SB 547.</t>
  </si>
  <si>
    <t xml:space="preserve">Announced $3 million dwelling limit effective Apr 1, 2020.</t>
  </si>
  <si>
    <t xml:space="preserve">Section 139 extends the NFIP; CR runs through Dec 11, 2026.</t>
  </si>
  <si>
    <t xml:space="preserve">States NFIP currently authorized until Dec 11, 2026.</t>
  </si>
  <si>
    <t xml:space="preserve">Publicly managed entity; primary source for CEA terms.</t>
  </si>
  <si>
    <t xml:space="preserve">Regulator consumer page.</t>
  </si>
  <si>
    <t xml:space="preserve">Agency page; primary source.</t>
  </si>
  <si>
    <t xml:space="preserve">Snippets only; fetch was rate-limited. Confirm full text.</t>
  </si>
  <si>
    <t xml:space="preserve">Old year; confirm current text.</t>
  </si>
  <si>
    <t xml:space="preserve">Statute text via FindLaw; snippets only.</t>
  </si>
  <si>
    <t xml:space="preserve">Older year of the statute; confirm current text.</t>
  </si>
  <si>
    <t xml:space="preserve">Confirms sections 627.0651-627.0653 and 627.06501 exist.</t>
  </si>
  <si>
    <t xml:space="preserve">States there is no such thing as 'full coverage'.</t>
  </si>
  <si>
    <t xml:space="preserve">Regulator FAQ.</t>
  </si>
  <si>
    <t xml:space="preserve">Lists statutory discounts all NY insurers must offer.</t>
  </si>
  <si>
    <t xml:space="preserve">Bill text; confirm the chaptered version and current Vehicle Code 16056.</t>
  </si>
  <si>
    <t xml:space="preserve">State windstorm association; own rules.</t>
  </si>
  <si>
    <t xml:space="preserve">Regulator blog; undated posts.</t>
  </si>
  <si>
    <t xml:space="preserve">Regulator guide; page blocked automated fetch, so text comes from search excerpts.</t>
  </si>
  <si>
    <t xml:space="preserve">Regulator page; lists TWIA territory.</t>
  </si>
  <si>
    <t xml:space="preserve">Vendor / agency blog</t>
  </si>
  <si>
    <t xml:space="preserve">Cites TDI June 2026 overview; secondary.</t>
  </si>
  <si>
    <t xml:space="preserve">Law firm blog; says Texas insurers must offer $2,500 PIP.</t>
  </si>
  <si>
    <t xml:space="preserve">Agency blog.</t>
  </si>
  <si>
    <t xml:space="preserve">Agency blog; Hawaii change is single-source.</t>
  </si>
  <si>
    <t xml:space="preserve">Carrier/agency blog.</t>
  </si>
  <si>
    <t xml:space="preserve">Insurance agency blog; lower reliability.</t>
  </si>
  <si>
    <t xml:space="preserve">Quotes s. 627.351(6)(aa); market share figures as of Mar 31, 2026.</t>
  </si>
  <si>
    <t xml:space="preserve">Educational site quoting statutes and an OIR July 2026 report.</t>
  </si>
  <si>
    <t xml:space="preserve">Internally inconsistent on Virginia.</t>
  </si>
  <si>
    <t xml:space="preserve">Premium range and take-up rate; low reliability.</t>
  </si>
  <si>
    <t xml:space="preserve">Agency blog; mentions CA offer/re-offer law.</t>
  </si>
  <si>
    <t xml:space="preserve">Baseline: 35-yr-old, clean record, 12k miles, 100/300/100 with $500 deductibles. Methodology not independently verified.</t>
  </si>
  <si>
    <t xml:space="preserve">Lead-gen vendor.</t>
  </si>
  <si>
    <t xml:space="preserve">Agency blog; cites TDI Order 2025-9540.</t>
  </si>
  <si>
    <t xml:space="preserve">Reports rule vacated Jan 24, 2025.</t>
  </si>
  <si>
    <t xml:space="preserve">Includes Colorado Reg 10-1-1 dates.</t>
  </si>
  <si>
    <t xml:space="preserve">Cites III/IRMI; treat as directional.</t>
  </si>
  <si>
    <t xml:space="preserve">Course provider; commercial interest.</t>
  </si>
  <si>
    <t xml:space="preserve">Cites NAIC map as of Apr 1, 2026.</t>
  </si>
  <si>
    <t xml:space="preserve">Calculator site; low reliability.</t>
  </si>
  <si>
    <t xml:space="preserve">Law firm blog; several firms agree. Verify on flsenate.gov.</t>
  </si>
  <si>
    <t xml:space="preserve">Contains affiliate links; treat private-vs-NFIP savings claims cautiously.</t>
  </si>
  <si>
    <t xml:space="preserve">Federal preemption discussion.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</si>
</sst>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\$#,##0"/>
    <numFmt numFmtId="167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2EFDA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CBAD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dmv.ca.gov/portal/vehicle-registration/insurance-requirements/" TargetMode="External"/><Relationship Id="rId2" Type="http://schemas.openxmlformats.org/officeDocument/2006/relationships/hyperlink" Target="https://www.dmv.ca.gov/portal/vehicle-registration/insurance-requirements/" TargetMode="External"/><Relationship Id="rId3" Type="http://schemas.openxmlformats.org/officeDocument/2006/relationships/hyperlink" Target="https://www.dmv.ca.gov/portal/vehicle-registration/insurance-requirements/" TargetMode="External"/><Relationship Id="rId4" Type="http://schemas.openxmlformats.org/officeDocument/2006/relationships/hyperlink" Target="https://www.insurance.ca.gov/0400-news/0102-alerts/2024/California-s-Low-Cost-Auto-Insurance.cfm" TargetMode="External"/><Relationship Id="rId5" Type="http://schemas.openxmlformats.org/officeDocument/2006/relationships/hyperlink" Target="https://www.carinsurance.com/Articles/minimum-liability-car-insurance-requirements-by-state.aspx" TargetMode="External"/><Relationship Id="rId6" Type="http://schemas.openxmlformats.org/officeDocument/2006/relationships/hyperlink" Target="https://leginfo.legislature.ca.gov/faces/billNavClient.xhtml?bill_id=202120220SB1107" TargetMode="External"/><Relationship Id="rId7" Type="http://schemas.openxmlformats.org/officeDocument/2006/relationships/hyperlink" Target="https://www.dmv.ca.gov/portal/vehicle-registration/insurance-requirements/" TargetMode="External"/><Relationship Id="rId8" Type="http://schemas.openxmlformats.org/officeDocument/2006/relationships/hyperlink" Target="https://www.dmv.ca.gov/portal/vehicle-registration/insurance-requirements/" TargetMode="External"/><Relationship Id="rId9" Type="http://schemas.openxmlformats.org/officeDocument/2006/relationships/hyperlink" Target="https://www.dmv.ca.gov/portal/vehicle-registration/insurance-requirements/" TargetMode="External"/><Relationship Id="rId10" Type="http://schemas.openxmlformats.org/officeDocument/2006/relationships/hyperlink" Target="https://www.dmv.ca.gov/portal/vehicle-registration/insurance-requirements/" TargetMode="External"/><Relationship Id="rId11" Type="http://schemas.openxmlformats.org/officeDocument/2006/relationships/hyperlink" Target="https://www.insurance.ca.gov/01-consumers/105-type/95-guides/01-auto/auto101.cfm" TargetMode="External"/><Relationship Id="rId12" Type="http://schemas.openxmlformats.org/officeDocument/2006/relationships/hyperlink" Target="https://www.insurance.ca.gov/01-consumers/105-type/95-guides/01-auto/auto101.cfm" TargetMode="External"/><Relationship Id="rId13" Type="http://schemas.openxmlformats.org/officeDocument/2006/relationships/hyperlink" Target="https://www.insurance.ca.gov/01-consumers/105-type/95-guides/01-auto/auto101.cfm" TargetMode="External"/><Relationship Id="rId14" Type="http://schemas.openxmlformats.org/officeDocument/2006/relationships/hyperlink" Target="https://www.insurance.ca.gov/01-consumers/105-type/95-guides/01-auto/auto101.cfm" TargetMode="External"/><Relationship Id="rId15" Type="http://schemas.openxmlformats.org/officeDocument/2006/relationships/hyperlink" Target="https://www.insurance.ca.gov/01-consumers/105-type/95-guides/01-auto/auto101.cfm" TargetMode="External"/><Relationship Id="rId16" Type="http://schemas.openxmlformats.org/officeDocument/2006/relationships/hyperlink" Target="https://www.insurance.ca.gov/01-consumers/105-type/95-guides/01-auto/auto101.cfm" TargetMode="External"/><Relationship Id="rId17" Type="http://schemas.openxmlformats.org/officeDocument/2006/relationships/hyperlink" Target="https://www.law.cornell.edu/regulations/california/10-CCR-2632.5" TargetMode="External"/><Relationship Id="rId18" Type="http://schemas.openxmlformats.org/officeDocument/2006/relationships/hyperlink" Target="https://www.law.cornell.edu/regulations/california/10-CCR-2632.5" TargetMode="External"/><Relationship Id="rId19" Type="http://schemas.openxmlformats.org/officeDocument/2006/relationships/hyperlink" Target="https://www.law.cornell.edu/regulations/california/10-CCR-2632.5" TargetMode="External"/><Relationship Id="rId20" Type="http://schemas.openxmlformats.org/officeDocument/2006/relationships/hyperlink" Target="https://www.law.cornell.edu/regulations/california/10-CCR-2632.5" TargetMode="External"/><Relationship Id="rId21" Type="http://schemas.openxmlformats.org/officeDocument/2006/relationships/hyperlink" Target="https://www.law.cornell.edu/regulations/california/10-CCR-2632.5" TargetMode="External"/><Relationship Id="rId22" Type="http://schemas.openxmlformats.org/officeDocument/2006/relationships/hyperlink" Target="https://www.law.cornell.edu/regulations/california/10-CCR-2632.5" TargetMode="External"/><Relationship Id="rId23" Type="http://schemas.openxmlformats.org/officeDocument/2006/relationships/hyperlink" Target="https://www.law.cornell.edu/regulations/california/10-CCR-2632.5" TargetMode="External"/><Relationship Id="rId24" Type="http://schemas.openxmlformats.org/officeDocument/2006/relationships/hyperlink" Target="https://www.law.cornell.edu/regulations/california/10-CCR-2632.12" TargetMode="External"/><Relationship Id="rId25" Type="http://schemas.openxmlformats.org/officeDocument/2006/relationships/hyperlink" Target="https://law.justia.com/codes/california/code-ins/division-1/part-2/chapter-9/article-10/section-1861-025/" TargetMode="External"/><Relationship Id="rId26" Type="http://schemas.openxmlformats.org/officeDocument/2006/relationships/hyperlink" Target="https://www.insurance.ca.gov/0250-insurers/0300-insurers/0200-bulletins/bulletin-notices-commiss-opinion/upload/Advisory-Notice-2005-02.pdf" TargetMode="External"/><Relationship Id="rId27" Type="http://schemas.openxmlformats.org/officeDocument/2006/relationships/hyperlink" Target="https://codes.findlaw.com/ca/insurance-code/ins-sect-11628-3/" TargetMode="External"/><Relationship Id="rId28" Type="http://schemas.openxmlformats.org/officeDocument/2006/relationships/hyperlink" Target="https://www.insurance.ca.gov/01-consumers/105-type/95-guides/01-auto/auto101.cfm" TargetMode="External"/><Relationship Id="rId29" Type="http://schemas.openxmlformats.org/officeDocument/2006/relationships/hyperlink" Target="https://www.insurance.ca.gov/01-consumers/105-type/95-guides/01-auto/auto101.cfm" TargetMode="External"/><Relationship Id="rId30" Type="http://schemas.openxmlformats.org/officeDocument/2006/relationships/hyperlink" Target="https://www.insurance.ca.gov/01-consumers/105-type/95-guides/01-auto/auto101.cfm" TargetMode="External"/><Relationship Id="rId31" Type="http://schemas.openxmlformats.org/officeDocument/2006/relationships/hyperlink" Target="https://www.insurance.ca.gov/01-consumers/105-type/95-guides/01-auto/auto101.cfm" TargetMode="External"/><Relationship Id="rId3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insurance.ca.gov/01-consumers/105-type/95-guides/upload/Homeowners-Insurance-Updated-121924.pdf" TargetMode="External"/><Relationship Id="rId2" Type="http://schemas.openxmlformats.org/officeDocument/2006/relationships/hyperlink" Target="https://www.insurance.ca.gov/01-consumers/105-type/95-guides/03-res/res-ins-guide.cfm" TargetMode="External"/><Relationship Id="rId3" Type="http://schemas.openxmlformats.org/officeDocument/2006/relationships/hyperlink" Target="https://www.insurance.ca.gov/01-consumers/105-type/95-guides/03-res/res-ins-guide.cfm" TargetMode="External"/><Relationship Id="rId4" Type="http://schemas.openxmlformats.org/officeDocument/2006/relationships/hyperlink" Target="https://www.insurance.ca.gov/01-consumers/105-type/95-guides/03-res/res-ins-guide.cfm" TargetMode="External"/><Relationship Id="rId5" Type="http://schemas.openxmlformats.org/officeDocument/2006/relationships/hyperlink" Target="https://www.insurance.ca.gov/01-consumers/105-type/95-guides/03-res/res-ins-guide.cfm" TargetMode="External"/><Relationship Id="rId6" Type="http://schemas.openxmlformats.org/officeDocument/2006/relationships/hyperlink" Target="https://www.insurance.ca.gov/01-consumers/105-type/95-guides/03-res/res-ins-guide.cfm" TargetMode="External"/><Relationship Id="rId7" Type="http://schemas.openxmlformats.org/officeDocument/2006/relationships/hyperlink" Target="https://www.insurance.ca.gov/01-consumers/105-type/95-guides/03-res/res-ins-guide.cfm" TargetMode="External"/><Relationship Id="rId8" Type="http://schemas.openxmlformats.org/officeDocument/2006/relationships/hyperlink" Target="https://www.insurance.ca.gov/01-consumers/105-type/95-guides/03-res/res-ins-guide.cfm" TargetMode="External"/><Relationship Id="rId9" Type="http://schemas.openxmlformats.org/officeDocument/2006/relationships/hyperlink" Target="https://www.insurance.ca.gov/01-consumers/105-type/95-guides/03-res/res-ins-guide.cfm" TargetMode="External"/><Relationship Id="rId10" Type="http://schemas.openxmlformats.org/officeDocument/2006/relationships/hyperlink" Target="https://www.insurance.ca.gov/01-consumers/105-type/95-guides/03-res/res-ins-guide.cfm" TargetMode="External"/><Relationship Id="rId11" Type="http://schemas.openxmlformats.org/officeDocument/2006/relationships/hyperlink" Target="https://www.insurance.ca.gov/01-consumers/105-type/95-guides/03-res/res-ins-guide.cfm" TargetMode="External"/><Relationship Id="rId12" Type="http://schemas.openxmlformats.org/officeDocument/2006/relationships/hyperlink" Target="https://www.insurance.ca.gov/01-consumers/105-type/95-guides/03-res/res-ins-guide.cfm" TargetMode="External"/><Relationship Id="rId13" Type="http://schemas.openxmlformats.org/officeDocument/2006/relationships/hyperlink" Target="https://www.insurance.ca.gov/01-consumers/105-type/95-guides/03-res/res-ins-guide.cfm" TargetMode="External"/><Relationship Id="rId14" Type="http://schemas.openxmlformats.org/officeDocument/2006/relationships/hyperlink" Target="https://www.insurance.ca.gov/01-consumers/200-wrr/Safer-from-Wildfires.cfm" TargetMode="External"/><Relationship Id="rId15" Type="http://schemas.openxmlformats.org/officeDocument/2006/relationships/hyperlink" Target="https://media.rff.org/documents/WP_25-30.pdf" TargetMode="External"/><Relationship Id="rId16" Type="http://schemas.openxmlformats.org/officeDocument/2006/relationships/hyperlink" Target="https://www.insurance.ca.gov/01-consumers/105-type/95-guides/03-res/res-ins-guide.cfm" TargetMode="External"/><Relationship Id="rId17" Type="http://schemas.openxmlformats.org/officeDocument/2006/relationships/hyperlink" Target="https://www.insurance.ca.gov/01-consumers/105-type/95-guides/03-res/res-ins-guide.cfm" TargetMode="External"/><Relationship Id="rId18" Type="http://schemas.openxmlformats.org/officeDocument/2006/relationships/hyperlink" Target="https://www.insurance.ca.gov/01-consumers/105-type/95-guides/03-res/res-ins-guide.cfm" TargetMode="External"/><Relationship Id="rId19" Type="http://schemas.openxmlformats.org/officeDocument/2006/relationships/hyperlink" Target="https://www.insurance.ca.gov/01-consumers/105-type/95-guides/03-res/res-ins-guide.cfm" TargetMode="External"/><Relationship Id="rId20" Type="http://schemas.openxmlformats.org/officeDocument/2006/relationships/hyperlink" Target="https://www.insurance.ca.gov/01-consumers/105-type/95-guides/03-res/res-ins-guide.cfm" TargetMode="External"/><Relationship Id="rId21" Type="http://schemas.openxmlformats.org/officeDocument/2006/relationships/hyperlink" Target="https://www.insurance.ca.gov/01-consumers/105-type/95-guides/03-res/res-ins-guide.cfm" TargetMode="External"/><Relationship Id="rId22" Type="http://schemas.openxmlformats.org/officeDocument/2006/relationships/hyperlink" Target="https://www.insurance.ca.gov/0400-news/0100-press-releases/2025/release079-2025.cfm" TargetMode="External"/><Relationship Id="rId23" Type="http://schemas.openxmlformats.org/officeDocument/2006/relationships/hyperlink" Target="https://www.insurance.ca.gov/0400-news/0100-press-releases/2025/release079-2025.cfm" TargetMode="External"/><Relationship Id="rId24" Type="http://schemas.openxmlformats.org/officeDocument/2006/relationships/hyperlink" Target="https://www.insurance.ca.gov/0400-news/0100-press-releases/2025/release079-2025.cfm" TargetMode="External"/><Relationship Id="rId25" Type="http://schemas.openxmlformats.org/officeDocument/2006/relationships/hyperlink" Target="https://www.insurance.ca.gov/01-consumers/105-type/95-guides/03-res/eq-ins.cfm" TargetMode="External"/><Relationship Id="rId26" Type="http://schemas.openxmlformats.org/officeDocument/2006/relationships/hyperlink" Target="https://law.justia.com/codes/california/code-ins/division-2/part-1/chapter-8-5/section-10083/" TargetMode="External"/><Relationship Id="rId27" Type="http://schemas.openxmlformats.org/officeDocument/2006/relationships/hyperlink" Target="https://www.insurance.ca.gov/01-consumers/105-type/95-guides/03-res/eq-ins.cfm" TargetMode="External"/><Relationship Id="rId28" Type="http://schemas.openxmlformats.org/officeDocument/2006/relationships/hyperlink" Target="https://www.insurance.ca.gov/01-consumers/105-type/95-guides/03-res/eq-ins.cfm" TargetMode="External"/><Relationship Id="rId29" Type="http://schemas.openxmlformats.org/officeDocument/2006/relationships/hyperlink" Target="https://www.insurance.ca.gov/01-consumers/105-type/95-guides/03-res/eq-ins.cfm" TargetMode="External"/><Relationship Id="rId30" Type="http://schemas.openxmlformats.org/officeDocument/2006/relationships/hyperlink" Target="https://www.earthquakeauthority.com/california-earthquake-insurance-policies/homeowners" TargetMode="External"/><Relationship Id="rId31" Type="http://schemas.openxmlformats.org/officeDocument/2006/relationships/hyperlink" Target="https://www.earthquakeauthority.com/california-earthquake-insurance-policies/homeowners" TargetMode="External"/><Relationship Id="rId32" Type="http://schemas.openxmlformats.org/officeDocument/2006/relationships/hyperlink" Target="https://www.insurance.ca.gov/01-consumers/140-catastrophes/FloodFacts.cfm" TargetMode="External"/><Relationship Id="rId33" Type="http://schemas.openxmlformats.org/officeDocument/2006/relationships/hyperlink" Target="https://www.insurance.ca.gov/01-consumers/105-type/95-guides/03-res/res-ins-guide.cfm" TargetMode="External"/><Relationship Id="rId34" Type="http://schemas.openxmlformats.org/officeDocument/2006/relationships/hyperlink" Target="https://www.insurance.ca.gov/01-consumers/140-catastrophes/FloodFacts.cfm" TargetMode="External"/><Relationship Id="rId35" Type="http://schemas.openxmlformats.org/officeDocument/2006/relationships/hyperlink" Target="https://www.insurance.ca.gov/01-consumers/105-type/95-guides/03-res/res-ins-guide.cfm" TargetMode="External"/><Relationship Id="rId36" Type="http://schemas.openxmlformats.org/officeDocument/2006/relationships/hyperlink" Target="https://www.insurance.ca.gov/01-consumers/105-type/95-guides/03-res/res-ins-guide.cfm" TargetMode="External"/><Relationship Id="rId37" Type="http://schemas.openxmlformats.org/officeDocument/2006/relationships/hyperlink" Target="https://www.insurance.ca.gov/01-consumers/105-type/95-guides/03-res/res-ins-guide.cfm" TargetMode="External"/><Relationship Id="rId38" Type="http://schemas.openxmlformats.org/officeDocument/2006/relationships/hyperlink" Target="https://www.insurance.ca.gov/0400-news/0100-press-releases/2019/release089-19.cfm" TargetMode="External"/><Relationship Id="rId39" Type="http://schemas.openxmlformats.org/officeDocument/2006/relationships/hyperlink" Target="https://www.kqed.org/news/12094860/california-fair-plan-announces-29-1-rate-hike-for-homeowners-this-fall" TargetMode="External"/><Relationship Id="rId40" Type="http://schemas.openxmlformats.org/officeDocument/2006/relationships/hyperlink" Target="https://insurancenewsnet.com/oarticle/california-fair-plan-rates-going-up-29-1-in-late-2026" TargetMode="External"/><Relationship Id="rId41" Type="http://schemas.openxmlformats.org/officeDocument/2006/relationships/hyperlink" Target="https://www.insurance.ca.gov/01-consumers/180-climate-change/SustainableInsuranceStrategy.cfm" TargetMode="External"/><Relationship Id="rId42" Type="http://schemas.openxmlformats.org/officeDocument/2006/relationships/hyperlink" Target="https://www.insurance.ca.gov/01-consumers/105-type/95-guides/03-res/res-ins-guide.cfm" TargetMode="External"/><Relationship Id="rId43" Type="http://schemas.openxmlformats.org/officeDocument/2006/relationships/hyperlink" Target="https://www.insurance.ca.gov/01-consumers/105-type/95-guides/03-res/res-ins-guide.cfm" TargetMode="External"/><Relationship Id="rId44" Type="http://schemas.openxmlformats.org/officeDocument/2006/relationships/hyperlink" Target="https://www.insurance.ca.gov/01-consumers/105-type/95-guides/03-res/res-ins-guide.cfm" TargetMode="External"/><Relationship Id="rId45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tdi.texas.gov/pubs/consumer/cb020.html" TargetMode="External"/><Relationship Id="rId2" Type="http://schemas.openxmlformats.org/officeDocument/2006/relationships/hyperlink" Target="https://www.tdi.texas.gov/pubs/consumer/cb020.html" TargetMode="External"/><Relationship Id="rId3" Type="http://schemas.openxmlformats.org/officeDocument/2006/relationships/hyperlink" Target="https://www.ashmorelaw.com/blog/car-insurance-do-you-have-enough-.cfm" TargetMode="External"/><Relationship Id="rId4" Type="http://schemas.openxmlformats.org/officeDocument/2006/relationships/hyperlink" Target="https://www.tdi.texas.gov/pubs/consumer/cb020.html" TargetMode="External"/><Relationship Id="rId5" Type="http://schemas.openxmlformats.org/officeDocument/2006/relationships/hyperlink" Target="https://www.tdi.texas.gov/pubs/consumer/cb020.html" TargetMode="External"/><Relationship Id="rId6" Type="http://schemas.openxmlformats.org/officeDocument/2006/relationships/hyperlink" Target="https://www.tdi.texas.gov/pubs/consumer/cb020.html" TargetMode="External"/><Relationship Id="rId7" Type="http://schemas.openxmlformats.org/officeDocument/2006/relationships/hyperlink" Target="https://www.tdi.texas.gov/pubs/consumer/cb020.html" TargetMode="External"/><Relationship Id="rId8" Type="http://schemas.openxmlformats.org/officeDocument/2006/relationships/hyperlink" Target="https://www.tdi.texas.gov/pubs/consumer/cb020.html" TargetMode="External"/><Relationship Id="rId9" Type="http://schemas.openxmlformats.org/officeDocument/2006/relationships/hyperlink" Target="https://www.tdi.texas.gov/pubs/consumer/cb020.html" TargetMode="External"/><Relationship Id="rId10" Type="http://schemas.openxmlformats.org/officeDocument/2006/relationships/hyperlink" Target="https://www.tdi.texas.gov/pubs/consumer/cb020.html" TargetMode="External"/><Relationship Id="rId11" Type="http://schemas.openxmlformats.org/officeDocument/2006/relationships/hyperlink" Target="https://www.tdi.texas.gov/pubs/consumer/cb020.html" TargetMode="External"/><Relationship Id="rId12" Type="http://schemas.openxmlformats.org/officeDocument/2006/relationships/hyperlink" Target="https://www.tdi.texas.gov/pubs/consumer/cb020.html" TargetMode="External"/><Relationship Id="rId13" Type="http://schemas.openxmlformats.org/officeDocument/2006/relationships/hyperlink" Target="https://www.tdi.texas.gov/pubs/consumer/cb020.html" TargetMode="External"/><Relationship Id="rId14" Type="http://schemas.openxmlformats.org/officeDocument/2006/relationships/hyperlink" Target="https://www.tdi.texas.gov/pubs/consumer/cb020.html" TargetMode="External"/><Relationship Id="rId15" Type="http://schemas.openxmlformats.org/officeDocument/2006/relationships/hyperlink" Target="https://www.tdi.texas.gov/pubs/consumer/cb020.html" TargetMode="External"/><Relationship Id="rId16" Type="http://schemas.openxmlformats.org/officeDocument/2006/relationships/hyperlink" Target="https://www.tdi.texas.gov/pubs/consumer/cb020.html" TargetMode="External"/><Relationship Id="rId17" Type="http://schemas.openxmlformats.org/officeDocument/2006/relationships/hyperlink" Target="https://www.tdi.texas.gov/pubs/consumer/cb020.html" TargetMode="External"/><Relationship Id="rId18" Type="http://schemas.openxmlformats.org/officeDocument/2006/relationships/hyperlink" Target="https://www.tdi.texas.gov/pubs/consumer/cb020.html" TargetMode="External"/><Relationship Id="rId19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flhsmv.gov/insurance/" TargetMode="External"/><Relationship Id="rId2" Type="http://schemas.openxmlformats.org/officeDocument/2006/relationships/hyperlink" Target="https://www.flhsmv.gov/insurance/" TargetMode="External"/><Relationship Id="rId3" Type="http://schemas.openxmlformats.org/officeDocument/2006/relationships/hyperlink" Target="https://www.flhsmv.gov/insurance/" TargetMode="External"/><Relationship Id="rId4" Type="http://schemas.openxmlformats.org/officeDocument/2006/relationships/hyperlink" Target="https://www.flhsmv.gov/insurance/" TargetMode="External"/><Relationship Id="rId5" Type="http://schemas.openxmlformats.org/officeDocument/2006/relationships/hyperlink" Target="https://www.flhsmv.gov/insurance/" TargetMode="External"/><Relationship Id="rId6" Type="http://schemas.openxmlformats.org/officeDocument/2006/relationships/hyperlink" Target="https://www.flsenate.gov/Laws/Statutes/2022/Chapter324/All" TargetMode="External"/><Relationship Id="rId7" Type="http://schemas.openxmlformats.org/officeDocument/2006/relationships/hyperlink" Target="https://www.vilesandbeckman.com/blog/did-florida-repeal-no-fault-insurance-the-pip-myths-and-the-facts-for-2026/" TargetMode="External"/><Relationship Id="rId8" Type="http://schemas.openxmlformats.org/officeDocument/2006/relationships/hyperlink" Target="https://www.vilesandbeckman.com/blog/did-florida-repeal-no-fault-insurance-the-pip-myths-and-the-facts-for-2026/" TargetMode="External"/><Relationship Id="rId9" Type="http://schemas.openxmlformats.org/officeDocument/2006/relationships/hyperlink" Target="https://www.vilesandbeckman.com/blog/did-florida-repeal-no-fault-insurance-the-pip-myths-and-the-facts-for-2026/" TargetMode="External"/><Relationship Id="rId10" Type="http://schemas.openxmlformats.org/officeDocument/2006/relationships/hyperlink" Target="https://law.justia.com/codes/florida/title-xxxvii/chapter-627/part-xi/section-627-728/" TargetMode="External"/><Relationship Id="rId11" Type="http://schemas.openxmlformats.org/officeDocument/2006/relationships/hyperlink" Target="https://www.flsenate.gov/Laws/Statutes/2025/0626.9741" TargetMode="External"/><Relationship Id="rId12" Type="http://schemas.openxmlformats.org/officeDocument/2006/relationships/hyperlink" Target="https://www.flsenate.gov/Laws/Statutes/2025/Chapter627/All" TargetMode="External"/><Relationship Id="rId13" Type="http://schemas.openxmlformats.org/officeDocument/2006/relationships/hyperlink" Target="https://www.flsenate.gov/Laws/Statutes/2025/Chapter627/All" TargetMode="External"/><Relationship Id="rId14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dfs.ny.gov/consumers/auto_insurance/Auto_resource_center" TargetMode="External"/><Relationship Id="rId2" Type="http://schemas.openxmlformats.org/officeDocument/2006/relationships/hyperlink" Target="https://www.dfs.ny.gov/consumers/auto_insurance/Auto_resource_center" TargetMode="External"/><Relationship Id="rId3" Type="http://schemas.openxmlformats.org/officeDocument/2006/relationships/hyperlink" Target="https://www.dfs.ny.gov/consumers/auto_insurance/Auto_resource_center" TargetMode="External"/><Relationship Id="rId4" Type="http://schemas.openxmlformats.org/officeDocument/2006/relationships/hyperlink" Target="https://www.dfs.ny.gov/consumers/auto_insurance/Auto_resource_center" TargetMode="External"/><Relationship Id="rId5" Type="http://schemas.openxmlformats.org/officeDocument/2006/relationships/hyperlink" Target="https://www.dfs.ny.gov/consumers/auto_insurance/Auto_resource_center" TargetMode="External"/><Relationship Id="rId6" Type="http://schemas.openxmlformats.org/officeDocument/2006/relationships/hyperlink" Target="https://www.dfs.ny.gov/consumers/auto_insurance/Auto_resource_center" TargetMode="External"/><Relationship Id="rId7" Type="http://schemas.openxmlformats.org/officeDocument/2006/relationships/hyperlink" Target="https://www.dfs.ny.gov/consumers/auto_insurance/Auto_resource_center" TargetMode="External"/><Relationship Id="rId8" Type="http://schemas.openxmlformats.org/officeDocument/2006/relationships/hyperlink" Target="https://www.dfs.ny.gov/faqs/consumer-auto/how-much-auto-insurance-must-i-carry" TargetMode="External"/><Relationship Id="rId9" Type="http://schemas.openxmlformats.org/officeDocument/2006/relationships/hyperlink" Target="https://www.dfs.ny.gov/consumers/auto_insurance/Auto_resource_center" TargetMode="External"/><Relationship Id="rId10" Type="http://schemas.openxmlformats.org/officeDocument/2006/relationships/hyperlink" Target="https://www.dfs.ny.gov/consumers/auto_insurance/Auto_resource_center" TargetMode="External"/><Relationship Id="rId11" Type="http://schemas.openxmlformats.org/officeDocument/2006/relationships/hyperlink" Target="https://www.dfs.ny.gov/consumers/auto_insurance/Auto_resource_center" TargetMode="External"/><Relationship Id="rId12" Type="http://schemas.openxmlformats.org/officeDocument/2006/relationships/hyperlink" Target="https://www.dfs.ny.gov/consumers/auto_insurance/Auto_resource_center" TargetMode="External"/><Relationship Id="rId13" Type="http://schemas.openxmlformats.org/officeDocument/2006/relationships/hyperlink" Target="https://www.dfs.ny.gov/consumers/auto_insurance/Auto_resource_center" TargetMode="External"/><Relationship Id="rId14" Type="http://schemas.openxmlformats.org/officeDocument/2006/relationships/hyperlink" Target="https://www.dfs.ny.gov/consumers/auto_insurance/Auto_resource_center" TargetMode="External"/><Relationship Id="rId15" Type="http://schemas.openxmlformats.org/officeDocument/2006/relationships/hyperlink" Target="https://www.dfs.ny.gov/consumers/auto_insurance/Auto_resource_center" TargetMode="External"/><Relationship Id="rId16" Type="http://schemas.openxmlformats.org/officeDocument/2006/relationships/hyperlink" Target="https://www.dfs.ny.gov/consumers/auto_insurance/Auto_resource_center" TargetMode="External"/><Relationship Id="rId17" Type="http://schemas.openxmlformats.org/officeDocument/2006/relationships/hyperlink" Target="https://www.dfs.ny.gov/consumers/auto_insurance/Auto_resource_center" TargetMode="External"/><Relationship Id="rId18" Type="http://schemas.openxmlformats.org/officeDocument/2006/relationships/hyperlink" Target="https://www.dfs.ny.gov/consumers/auto_insurance/Auto_resource_center" TargetMode="External"/><Relationship Id="rId19" Type="http://schemas.openxmlformats.org/officeDocument/2006/relationships/hyperlink" Target="https://www.dfs.ny.gov/consumers/auto_insurance/Auto_resource_center" TargetMode="External"/><Relationship Id="rId20" Type="http://schemas.openxmlformats.org/officeDocument/2006/relationships/hyperlink" Target="https://www.dfs.ny.gov/consumers/auto_insurance/Auto_resource_center" TargetMode="External"/><Relationship Id="rId21" Type="http://schemas.openxmlformats.org/officeDocument/2006/relationships/hyperlink" Target="https://www.dfs.ny.gov/consumers/auto_insurance/Auto_resource_center" TargetMode="External"/><Relationship Id="rId22" Type="http://schemas.openxmlformats.org/officeDocument/2006/relationships/hyperlink" Target="https://www.dfs.ny.gov/consumers/auto_insurance/Auto_resource_center" TargetMode="External"/><Relationship Id="rId23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tdi.texas.gov/pubs/consumer/cb025.html" TargetMode="External"/><Relationship Id="rId2" Type="http://schemas.openxmlformats.org/officeDocument/2006/relationships/hyperlink" Target="https://www.tdi.texas.gov/pubs/consumer/cb025.html" TargetMode="External"/><Relationship Id="rId3" Type="http://schemas.openxmlformats.org/officeDocument/2006/relationships/hyperlink" Target="https://www.tdi.texas.gov/pubs/consumer/cb025.html" TargetMode="External"/><Relationship Id="rId4" Type="http://schemas.openxmlformats.org/officeDocument/2006/relationships/hyperlink" Target="https://www.tdi.texas.gov/pubs/consumer/cb025.html" TargetMode="External"/><Relationship Id="rId5" Type="http://schemas.openxmlformats.org/officeDocument/2006/relationships/hyperlink" Target="https://tdi.texas.gov/blog/category/home-property.html" TargetMode="External"/><Relationship Id="rId6" Type="http://schemas.openxmlformats.org/officeDocument/2006/relationships/hyperlink" Target="https://www.tdi.texas.gov/pubs/consumer/cb025.html" TargetMode="External"/><Relationship Id="rId7" Type="http://schemas.openxmlformats.org/officeDocument/2006/relationships/hyperlink" Target="https://www.tdi.texas.gov/general/texas-homeowners-insurance-market-overview.html" TargetMode="External"/><Relationship Id="rId8" Type="http://schemas.openxmlformats.org/officeDocument/2006/relationships/hyperlink" Target="https://www.twia.org/flood-requirement/" TargetMode="External"/><Relationship Id="rId9" Type="http://schemas.openxmlformats.org/officeDocument/2006/relationships/hyperlink" Target="https://www.tdi.texas.gov/pubs/consumer/cb025.html" TargetMode="External"/><Relationship Id="rId10" Type="http://schemas.openxmlformats.org/officeDocument/2006/relationships/hyperlink" Target="https://tdi.texas.gov/blog/category/home-property.html" TargetMode="External"/><Relationship Id="rId11" Type="http://schemas.openxmlformats.org/officeDocument/2006/relationships/hyperlink" Target="https://www.latentinsure.com/texas-homeowners-insurance/twia" TargetMode="External"/><Relationship Id="rId12" Type="http://schemas.openxmlformats.org/officeDocument/2006/relationships/hyperlink" Target="https://www.tdi.texas.gov/pubs/consumer/cb025.html" TargetMode="External"/><Relationship Id="rId13" Type="http://schemas.openxmlformats.org/officeDocument/2006/relationships/hyperlink" Target="https://tdi.texas.gov/blog/category/home-property.html" TargetMode="External"/><Relationship Id="rId14" Type="http://schemas.openxmlformats.org/officeDocument/2006/relationships/hyperlink" Target="https://www.tdi.texas.gov/pubs/consumer/cb025.html" TargetMode="External"/><Relationship Id="rId15" Type="http://schemas.openxmlformats.org/officeDocument/2006/relationships/hyperlink" Target="https://aegivra.com/guides/texas-homeowners-insurance-guide" TargetMode="External"/><Relationship Id="rId16" Type="http://schemas.openxmlformats.org/officeDocument/2006/relationships/hyperlink" Target="https://aegivra.com/guides/texas-homeowners-insurance-guide" TargetMode="External"/><Relationship Id="rId17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codes.findlaw.com/fl/title-xxxvii-insurance/fl-st-sect-627-701/" TargetMode="External"/><Relationship Id="rId2" Type="http://schemas.openxmlformats.org/officeDocument/2006/relationships/hyperlink" Target="https://www.myfloridacfo.com/division/consumers/consumerprotections/floridashurricanedeductible" TargetMode="External"/><Relationship Id="rId3" Type="http://schemas.openxmlformats.org/officeDocument/2006/relationships/hyperlink" Target="https://www.myfloridacfo.com/division/consumers/consumerprotections/floridashurricanedeductible" TargetMode="External"/><Relationship Id="rId4" Type="http://schemas.openxmlformats.org/officeDocument/2006/relationships/hyperlink" Target="https://www.myfloridacfo.com/division/consumers/consumerprotections/floridashurricanedeductible" TargetMode="External"/><Relationship Id="rId5" Type="http://schemas.openxmlformats.org/officeDocument/2006/relationships/hyperlink" Target="https://codes.findlaw.com/fl/title-xxxvii-insurance/fl-st-sect-627-701/" TargetMode="External"/><Relationship Id="rId6" Type="http://schemas.openxmlformats.org/officeDocument/2006/relationships/hyperlink" Target="https://codes.findlaw.com/fl/title-xxxvii-insurance/fl-st-sect-627-701/" TargetMode="External"/><Relationship Id="rId7" Type="http://schemas.openxmlformats.org/officeDocument/2006/relationships/hyperlink" Target="https://coverageclassroom.com/learn/hurricane-insurance-florida-guide" TargetMode="External"/><Relationship Id="rId8" Type="http://schemas.openxmlformats.org/officeDocument/2006/relationships/hyperlink" Target="https://coverageclassroom.com/learn/citizens-flood-insurance-requirement" TargetMode="External"/><Relationship Id="rId9" Type="http://schemas.openxmlformats.org/officeDocument/2006/relationships/hyperlink" Target="https://www.cigflorida.com/policy-updates-for-florida-homeowners/" TargetMode="External"/><Relationship Id="rId10" Type="http://schemas.openxmlformats.org/officeDocument/2006/relationships/hyperlink" Target="https://www.cigflorida.com/policy-updates-for-florida-homeowners/" TargetMode="External"/><Relationship Id="rId11" Type="http://schemas.openxmlformats.org/officeDocument/2006/relationships/hyperlink" Target="https://coverageclassroom.com/learn/citizens-flood-insurance-requirement" TargetMode="External"/><Relationship Id="rId12" Type="http://schemas.openxmlformats.org/officeDocument/2006/relationships/hyperlink" Target="https://coverageclassroom.com/learn/hurricane-insurance-florida-guide" TargetMode="External"/><Relationship Id="rId13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insurancegeek.com/auto-insurance/state-minimum-car-insurance-limits/" TargetMode="External"/><Relationship Id="rId2" Type="http://schemas.openxmlformats.org/officeDocument/2006/relationships/hyperlink" Target="https://www.dmv.ca.gov/portal/vehicle-registration/insurance-requirements/" TargetMode="External"/><Relationship Id="rId3" Type="http://schemas.openxmlformats.org/officeDocument/2006/relationships/hyperlink" Target="https://www.flhsmv.gov/insurance/" TargetMode="External"/><Relationship Id="rId4" Type="http://schemas.openxmlformats.org/officeDocument/2006/relationships/hyperlink" Target="https://beachinsurancellc.com/blog/state-minimum-car-insurance-requirements-for-2026-your-essential-guide" TargetMode="External"/><Relationship Id="rId5" Type="http://schemas.openxmlformats.org/officeDocument/2006/relationships/hyperlink" Target="https://coveragecriteria.com/articles/minimum-auto-insurance-by-state" TargetMode="External"/><Relationship Id="rId6" Type="http://schemas.openxmlformats.org/officeDocument/2006/relationships/hyperlink" Target="https://www.autoinsurance.org/car-insurance-requirements/" TargetMode="External"/><Relationship Id="rId7" Type="http://schemas.openxmlformats.org/officeDocument/2006/relationships/hyperlink" Target="https://coveragecriteria.com/articles/minimum-auto-insurance-by-state" TargetMode="External"/><Relationship Id="rId8" Type="http://schemas.openxmlformats.org/officeDocument/2006/relationships/hyperlink" Target="https://www.insurancegeek.com/auto-insurance/state-minimum-car-insurance-limits/" TargetMode="External"/><Relationship Id="rId9" Type="http://schemas.openxmlformats.org/officeDocument/2006/relationships/hyperlink" Target="https://coveragecriteria.com/articles/minimum-auto-insurance-by-state" TargetMode="External"/><Relationship Id="rId10" Type="http://schemas.openxmlformats.org/officeDocument/2006/relationships/hyperlink" Target="https://www.cnbc.com/select/state-minimum-car-insurance-requirements/" TargetMode="External"/><Relationship Id="rId11" Type="http://schemas.openxmlformats.org/officeDocument/2006/relationships/hyperlink" Target="https://www.carinsurance.com/Articles/minimum-liability-car-insurance-requirements-by-state.aspx" TargetMode="External"/><Relationship Id="rId12" Type="http://schemas.openxmlformats.org/officeDocument/2006/relationships/hyperlink" Target="https://www.dfs.ny.gov/consumers/auto_insurance/Auto_resource_center" TargetMode="External"/><Relationship Id="rId13" Type="http://schemas.openxmlformats.org/officeDocument/2006/relationships/hyperlink" Target="https://www.carinsurance.com/Articles/minimum-liability-car-insurance-requirements-by-state.aspx" TargetMode="External"/><Relationship Id="rId14" Type="http://schemas.openxmlformats.org/officeDocument/2006/relationships/hyperlink" Target="https://beachinsurancellc.com/blog/state-minimum-car-insurance-requirements-for-2026-your-essential-guide" TargetMode="External"/><Relationship Id="rId15" Type="http://schemas.openxmlformats.org/officeDocument/2006/relationships/hyperlink" Target="https://www.autoinsurance.org/car-insurance-requirements/" TargetMode="External"/><Relationship Id="rId16" Type="http://schemas.openxmlformats.org/officeDocument/2006/relationships/hyperlink" Target="https://www.tdi.texas.gov/pubs/consumer/cb020.html" TargetMode="External"/><Relationship Id="rId17" Type="http://schemas.openxmlformats.org/officeDocument/2006/relationships/hyperlink" Target="https://www.carinsurance.com/Articles/minimum-liability-car-insurance-requirements-by-state.aspx" TargetMode="External"/><Relationship Id="rId18" Type="http://schemas.openxmlformats.org/officeDocument/2006/relationships/hyperlink" Target="https://www.autoinsurance.org/car-insurance-requirements/" TargetMode="External"/><Relationship Id="rId19" Type="http://schemas.openxmlformats.org/officeDocument/2006/relationships/hyperlink" Target="https://www.carinsurance.com/Articles/minimum-liability-car-insurance-requirements-by-state.aspx" TargetMode="External"/><Relationship Id="rId2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law.cornell.edu/regulations/california/10-CCR-2632.5" TargetMode="External"/><Relationship Id="rId2" Type="http://schemas.openxmlformats.org/officeDocument/2006/relationships/hyperlink" Target="https://uphelp.org/should-states-ban-credit-based-insurance-scoring/" TargetMode="External"/><Relationship Id="rId3" Type="http://schemas.openxmlformats.org/officeDocument/2006/relationships/hyperlink" Target="https://www.newsweek.com/where-your-credit-score-can-cant-raise-insurance-costs-11885672" TargetMode="External"/><Relationship Id="rId4" Type="http://schemas.openxmlformats.org/officeDocument/2006/relationships/hyperlink" Target="https://www.tdi.texas.gov/pubs/consumer/cb020.html" TargetMode="External"/><Relationship Id="rId5" Type="http://schemas.openxmlformats.org/officeDocument/2006/relationships/hyperlink" Target="https://www.flsenate.gov/Laws/Statutes/2025/0626.9741" TargetMode="External"/><Relationship Id="rId6" Type="http://schemas.openxmlformats.org/officeDocument/2006/relationships/hyperlink" Target="https://www.dfs.ny.gov/consumers/auto_insurance/Auto_resource_center" TargetMode="External"/><Relationship Id="rId7" Type="http://schemas.openxmlformats.org/officeDocument/2006/relationships/hyperlink" Target="https://www.thezebra.com/resources/research/car-insurance-rating-factors-by-state/" TargetMode="External"/><Relationship Id="rId8" Type="http://schemas.openxmlformats.org/officeDocument/2006/relationships/hyperlink" Target="https://www.experian.com/blogs/ask-experian/which-states-prohibit-or-restrict-the-use-of-credit-based-insurance-scores/" TargetMode="External"/><Relationship Id="rId9" Type="http://schemas.openxmlformats.org/officeDocument/2006/relationships/hyperlink" Target="https://www.cnbc.com/2026/04/26/insurance-rates-credit-history.html" TargetMode="External"/><Relationship Id="rId10" Type="http://schemas.openxmlformats.org/officeDocument/2006/relationships/hyperlink" Target="https://www.experian.com/blogs/ask-experian/which-states-prohibit-or-restrict-the-use-of-credit-based-insurance-scores/" TargetMode="External"/><Relationship Id="rId11" Type="http://schemas.openxmlformats.org/officeDocument/2006/relationships/hyperlink" Target="https://www.experian.com/blogs/ask-experian/which-states-prohibit-or-restrict-the-use-of-credit-based-insurance-scores/" TargetMode="External"/><Relationship Id="rId12" Type="http://schemas.openxmlformats.org/officeDocument/2006/relationships/hyperlink" Target="https://www.moneygeek.com/insurance/auto/which-insurance-companies-dont-check-credit-score/" TargetMode="External"/><Relationship Id="rId13" Type="http://schemas.openxmlformats.org/officeDocument/2006/relationships/hyperlink" Target="https://www.experian.com/blogs/ask-experian/which-states-prohibit-or-restrict-the-use-of-credit-based-insurance-scores/" TargetMode="External"/><Relationship Id="rId14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dfs.ny.gov/consumers/auto_insurance/discounts_list" TargetMode="External"/><Relationship Id="rId2" Type="http://schemas.openxmlformats.org/officeDocument/2006/relationships/hyperlink" Target="https://www.dfs.ny.gov/consumers/auto_insurance/discounts_list" TargetMode="External"/><Relationship Id="rId3" Type="http://schemas.openxmlformats.org/officeDocument/2006/relationships/hyperlink" Target="https://www.dfs.ny.gov/consumers/auto_insurance/discounts_list" TargetMode="External"/><Relationship Id="rId4" Type="http://schemas.openxmlformats.org/officeDocument/2006/relationships/hyperlink" Target="https://www.dfs.ny.gov/consumers/auto_insurance/discounts_list" TargetMode="External"/><Relationship Id="rId5" Type="http://schemas.openxmlformats.org/officeDocument/2006/relationships/hyperlink" Target="https://www.dfs.ny.gov/consumers/auto_insurance/discounts_list" TargetMode="External"/><Relationship Id="rId6" Type="http://schemas.openxmlformats.org/officeDocument/2006/relationships/hyperlink" Target="https://www.dfs.ny.gov/consumers/auto_insurance/discounts_list" TargetMode="External"/><Relationship Id="rId7" Type="http://schemas.openxmlformats.org/officeDocument/2006/relationships/hyperlink" Target="https://www.moneygeek.com/insurance/auto/defensive-driver-courses/" TargetMode="External"/><Relationship Id="rId8" Type="http://schemas.openxmlformats.org/officeDocument/2006/relationships/hyperlink" Target="https://www.moneygeek.com/insurance/auto/defensive-driver-courses/" TargetMode="External"/><Relationship Id="rId9" Type="http://schemas.openxmlformats.org/officeDocument/2006/relationships/hyperlink" Target="https://www.geico.com/save/discounts/defensive-driver-discounts/" TargetMode="External"/><Relationship Id="rId10" Type="http://schemas.openxmlformats.org/officeDocument/2006/relationships/hyperlink" Target="https://www.geico.com/save/discounts/defensive-driver-discounts/" TargetMode="External"/><Relationship Id="rId11" Type="http://schemas.openxmlformats.org/officeDocument/2006/relationships/hyperlink" Target="https://www.geico.com/save/discounts/defensive-driver-discounts/" TargetMode="External"/><Relationship Id="rId12" Type="http://schemas.openxmlformats.org/officeDocument/2006/relationships/hyperlink" Target="https://www.moneygeek.com/insurance/auto/defensive-driver-courses/" TargetMode="External"/><Relationship Id="rId13" Type="http://schemas.openxmlformats.org/officeDocument/2006/relationships/hyperlink" Target="https://www.insurance.ca.gov/01-consumers/105-type/95-guides/01-auto/auto101.cfm" TargetMode="External"/><Relationship Id="rId14" Type="http://schemas.openxmlformats.org/officeDocument/2006/relationships/hyperlink" Target="https://www.insurance.ca.gov/0250-insurers/0300-insurers/0200-bulletins/bulletin-notices-commiss-opinion/upload/Advisory-Notice-2005-02.pdf" TargetMode="External"/><Relationship Id="rId15" Type="http://schemas.openxmlformats.org/officeDocument/2006/relationships/hyperlink" Target="https://codes.findlaw.com/ca/insurance-code/ins-sect-11628-3/" TargetMode="External"/><Relationship Id="rId16" Type="http://schemas.openxmlformats.org/officeDocument/2006/relationships/hyperlink" Target="https://www.insurance.ca.gov/0250-insurers/0300-insurers/0200-bulletins/bulletin-notices-commiss-opinion/upload/Advisory-Notice-2005-02.pdf" TargetMode="External"/><Relationship Id="rId17" Type="http://schemas.openxmlformats.org/officeDocument/2006/relationships/hyperlink" Target="https://www.dfs.ny.gov/consumers/auto_insurance/Auto_resource_center" TargetMode="External"/><Relationship Id="rId18" Type="http://schemas.openxmlformats.org/officeDocument/2006/relationships/hyperlink" Target="https://www.dfs.ny.gov/consumers/auto_insurance/Auto_resource_center" TargetMode="External"/><Relationship Id="rId19" Type="http://schemas.openxmlformats.org/officeDocument/2006/relationships/hyperlink" Target="https://www.dfs.ny.gov/consumers/auto_insurance/Auto_resource_center" TargetMode="External"/><Relationship Id="rId20" Type="http://schemas.openxmlformats.org/officeDocument/2006/relationships/hyperlink" Target="https://www.tdi.texas.gov/pubs/consumer/cb020.html" TargetMode="External"/><Relationship Id="rId21" Type="http://schemas.openxmlformats.org/officeDocument/2006/relationships/hyperlink" Target="https://flsenate.gov/Laws/Statutes/2003/627.06501" TargetMode="External"/><Relationship Id="rId22" Type="http://schemas.openxmlformats.org/officeDocument/2006/relationships/hyperlink" Target="https://www.flsenate.gov/laws/statutes/2012/627.0652" TargetMode="External"/><Relationship Id="rId23" Type="http://schemas.openxmlformats.org/officeDocument/2006/relationships/hyperlink" Target="https://www.flsenate.gov/Laws/Statutes/2025/Chapter627/All" TargetMode="External"/><Relationship Id="rId24" Type="http://schemas.openxmlformats.org/officeDocument/2006/relationships/hyperlink" Target="https://www.safedriver.com/news/defensive-driving-for-insurance-discount-2026-how-much-you-can-really-save" TargetMode="External"/><Relationship Id="rId25" Type="http://schemas.openxmlformats.org/officeDocument/2006/relationships/hyperlink" Target="https://www.insurance.com/auto-insurance/car-insurance-discounts.html" TargetMode="External"/><Relationship Id="rId26" Type="http://schemas.openxmlformats.org/officeDocument/2006/relationships/hyperlink" Target="https://www.insurance.com/auto-insurance/car-insurance-discounts.html" TargetMode="External"/><Relationship Id="rId27" Type="http://schemas.openxmlformats.org/officeDocument/2006/relationships/hyperlink" Target="https://www.insurance.com/auto-insurance/car-insurance-discounts.html" TargetMode="External"/><Relationship Id="rId28" Type="http://schemas.openxmlformats.org/officeDocument/2006/relationships/hyperlink" Target="https://www.insurance.com/auto-insurance/car-insurance-discounts.html" TargetMode="External"/><Relationship Id="rId29" Type="http://schemas.openxmlformats.org/officeDocument/2006/relationships/hyperlink" Target="https://www.statefarm.com/insurance/auto/discounts" TargetMode="External"/><Relationship Id="rId30" Type="http://schemas.openxmlformats.org/officeDocument/2006/relationships/hyperlink" Target="https://insurify.com/car-insurance/coverage/telematics/" TargetMode="External"/><Relationship Id="rId3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www.bankrate.com/insurance/car/are-telematics-programs-worth-the-discount/" TargetMode="External"/><Relationship Id="rId2" Type="http://schemas.openxmlformats.org/officeDocument/2006/relationships/hyperlink" Target="https://insurify.com/car-insurance/coverage/telematics/" TargetMode="External"/><Relationship Id="rId3" Type="http://schemas.openxmlformats.org/officeDocument/2006/relationships/hyperlink" Target="https://www.insuremojo.com/telematics-insurance-discount-programs/" TargetMode="External"/><Relationship Id="rId4" Type="http://schemas.openxmlformats.org/officeDocument/2006/relationships/hyperlink" Target="https://insurify.com/car-insurance/coverage/telematics/" TargetMode="External"/><Relationship Id="rId5" Type="http://schemas.openxmlformats.org/officeDocument/2006/relationships/hyperlink" Target="https://www.bankrate.com/insurance/car/are-telematics-programs-worth-the-discount/" TargetMode="External"/><Relationship Id="rId6" Type="http://schemas.openxmlformats.org/officeDocument/2006/relationships/hyperlink" Target="https://www.bankrate.com/insurance/car/are-telematics-programs-worth-the-discount/" TargetMode="External"/><Relationship Id="rId7" Type="http://schemas.openxmlformats.org/officeDocument/2006/relationships/hyperlink" Target="https://www.bankrate.com/insurance/car/are-telematics-programs-worth-the-discount/" TargetMode="External"/><Relationship Id="rId8" Type="http://schemas.openxmlformats.org/officeDocument/2006/relationships/hyperlink" Target="https://www.quoteyeti.com/blog/telematics-tradeoffs/" TargetMode="External"/><Relationship Id="rId9" Type="http://schemas.openxmlformats.org/officeDocument/2006/relationships/hyperlink" Target="https://www.dfs.ny.gov/consumers/auto_insurance/Auto_resource_center" TargetMode="External"/><Relationship Id="rId10" Type="http://schemas.openxmlformats.org/officeDocument/2006/relationships/hyperlink" Target="https://www.tdi.texas.gov/pubs/consumer/cb020.html" TargetMode="External"/><Relationship Id="rId1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content.naic.org/sites/default/files/consumer-auto-shopping-tool.pdf" TargetMode="External"/><Relationship Id="rId2" Type="http://schemas.openxmlformats.org/officeDocument/2006/relationships/hyperlink" Target="https://thelendersnetwork.com/flood-insurance-mortgage-requirements/" TargetMode="External"/><Relationship Id="rId3" Type="http://schemas.openxmlformats.org/officeDocument/2006/relationships/hyperlink" Target="https://thelendersnetwork.com/flood-insurance-mortgage-requirements/" TargetMode="External"/><Relationship Id="rId4" Type="http://schemas.openxmlformats.org/officeDocument/2006/relationships/hyperlink" Target="https://thelendersnetwork.com/flood-insurance-mortgage-requirements/" TargetMode="External"/><Relationship Id="rId5" Type="http://schemas.openxmlformats.org/officeDocument/2006/relationships/hyperlink" Target="https://thelendersnetwork.com/flood-insurance-mortgage-requirements/" TargetMode="External"/><Relationship Id="rId6" Type="http://schemas.openxmlformats.org/officeDocument/2006/relationships/hyperlink" Target="https://walletgrower.com/insurance/homeowners-insurance/flood-insurance" TargetMode="External"/><Relationship Id="rId7" Type="http://schemas.openxmlformats.org/officeDocument/2006/relationships/hyperlink" Target="https://atesariskadvisors.com/blog/florida-private-flood-insurance-vs-nfip-2026" TargetMode="External"/><Relationship Id="rId8" Type="http://schemas.openxmlformats.org/officeDocument/2006/relationships/hyperlink" Target="https://www.congress.gov/crs-product/R49353" TargetMode="External"/><Relationship Id="rId9" Type="http://schemas.openxmlformats.org/officeDocument/2006/relationships/hyperlink" Target="https://walletgrower.com/insurance/homeowners-insurance/flood-insurance" TargetMode="External"/><Relationship Id="rId10" Type="http://schemas.openxmlformats.org/officeDocument/2006/relationships/hyperlink" Target="https://walletgrower.com/insurance/homeowners-insurance/flood-insurance" TargetMode="External"/><Relationship Id="rId11" Type="http://schemas.openxmlformats.org/officeDocument/2006/relationships/hyperlink" Target="https://www.earthquakeauthority.com/california-earthquake-insurance-policies/homeowners" TargetMode="External"/><Relationship Id="rId12" Type="http://schemas.openxmlformats.org/officeDocument/2006/relationships/hyperlink" Target="https://expressfinancial.net/p/earthquake-insurance-california" TargetMode="External"/><Relationship Id="rId13" Type="http://schemas.openxmlformats.org/officeDocument/2006/relationships/hyperlink" Target="https://www.earthquakeauthority.com/california-earthquake-insurance-policies/homeowners" TargetMode="External"/><Relationship Id="rId14" Type="http://schemas.openxmlformats.org/officeDocument/2006/relationships/hyperlink" Target="https://www.earthquakeauthority.com/california-earthquake-insurance-policies/homeowners" TargetMode="External"/><Relationship Id="rId15" Type="http://schemas.openxmlformats.org/officeDocument/2006/relationships/hyperlink" Target="https://expressfinancial.net/p/earthquake-insurance-california" TargetMode="External"/><Relationship Id="rId16" Type="http://schemas.openxmlformats.org/officeDocument/2006/relationships/hyperlink" Target="https://www.earthquakenearme.com/en/blog/earthquake-insurance-california" TargetMode="External"/><Relationship Id="rId17" Type="http://schemas.openxmlformats.org/officeDocument/2006/relationships/hyperlink" Target="https://www.earthquakenearme.com/en/blog/earthquake-insurance-california" TargetMode="External"/><Relationship Id="rId18" Type="http://schemas.openxmlformats.org/officeDocument/2006/relationships/hyperlink" Target="https://expressfinancial.net/p/earthquake-insurance-california" TargetMode="External"/><Relationship Id="rId19" Type="http://schemas.openxmlformats.org/officeDocument/2006/relationships/hyperlink" Target="https://www.nerdwallet.com/insurance/homeowners/learn/umbrella-insurance" TargetMode="External"/><Relationship Id="rId20" Type="http://schemas.openxmlformats.org/officeDocument/2006/relationships/hyperlink" Target="https://www.realcostreport.com/insurance/home-insurance/umbrella-insurance-cost/" TargetMode="External"/><Relationship Id="rId21" Type="http://schemas.openxmlformats.org/officeDocument/2006/relationships/hyperlink" Target="https://usecalcpro.com/finance/umbrella-insurance-quote-calculator" TargetMode="External"/><Relationship Id="rId22" Type="http://schemas.openxmlformats.org/officeDocument/2006/relationships/hyperlink" Target="https://www.kiplinger.com/personal-finance/insurance/umbrella-insurance/603237/how-much-umbrella-insurance-do-i-need" TargetMode="External"/><Relationship Id="rId23" Type="http://schemas.openxmlformats.org/officeDocument/2006/relationships/hyperlink" Target="https://www.realcostreport.com/insurance/home-insurance/umbrella-insurance-cost/" TargetMode="External"/><Relationship Id="rId24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insurtool.com/tools/average-car-insurance-cost/" TargetMode="External"/><Relationship Id="rId2" Type="http://schemas.openxmlformats.org/officeDocument/2006/relationships/hyperlink" Target="https://insurify.com/car-insurance/report/" TargetMode="External"/><Relationship Id="rId3" Type="http://schemas.openxmlformats.org/officeDocument/2006/relationships/hyperlink" Target="https://www.valuepenguin.com/state-of-auto-insurance-2026" TargetMode="External"/><Relationship Id="rId4" Type="http://schemas.openxmlformats.org/officeDocument/2006/relationships/hyperlink" Target="https://cincoautoinsurance.com/auto-insurance/cost/" TargetMode="External"/><Relationship Id="rId5" Type="http://schemas.openxmlformats.org/officeDocument/2006/relationships/hyperlink" Target="https://www.experian.com/blogs/ask-experian/average-cost-car-insurance/" TargetMode="External"/><Relationship Id="rId6" Type="http://schemas.openxmlformats.org/officeDocument/2006/relationships/hyperlink" Target="https://cincoautoinsurance.com/auto-insurance/cost/" TargetMode="External"/><Relationship Id="rId7" Type="http://schemas.openxmlformats.org/officeDocument/2006/relationships/hyperlink" Target="https://www.insuredbetter.com/car-insurance/compare-auto-coverage/rate-cost/" TargetMode="External"/><Relationship Id="rId8" Type="http://schemas.openxmlformats.org/officeDocument/2006/relationships/hyperlink" Target="https://www.experian.com/blogs/ask-experian/average-cost-car-insurance/" TargetMode="External"/><Relationship Id="rId9" Type="http://schemas.openxmlformats.org/officeDocument/2006/relationships/hyperlink" Target="https://www.experian.com/blogs/ask-experian/average-cost-car-insurance/" TargetMode="External"/><Relationship Id="rId10" Type="http://schemas.openxmlformats.org/officeDocument/2006/relationships/hyperlink" Target="https://www.usnews.com/insurance/auto/average-cost-of-car-insurance" TargetMode="External"/><Relationship Id="rId11" Type="http://schemas.openxmlformats.org/officeDocument/2006/relationships/hyperlink" Target="https://www.nerdwallet.com/insurance/homeowners/learn/average-homeowners-insurance-cost" TargetMode="External"/><Relationship Id="rId12" Type="http://schemas.openxmlformats.org/officeDocument/2006/relationships/hyperlink" Target="https://insurify.com/homeowners-insurance/insights/rates-increase-first-half-2026/" TargetMode="External"/><Relationship Id="rId13" Type="http://schemas.openxmlformats.org/officeDocument/2006/relationships/hyperlink" Target="https://insurify.com/homeowners-insurance/insights/rates-increase-first-half-2026/" TargetMode="External"/><Relationship Id="rId14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techsavvyinsurance.com/answers/which-states-adopted-naic-ai-model-bulletin/" TargetMode="External"/><Relationship Id="rId2" Type="http://schemas.openxmlformats.org/officeDocument/2006/relationships/hyperlink" Target="https://www.meilynx.com/reference/naic-ai-model-bulletin" TargetMode="External"/><Relationship Id="rId3" Type="http://schemas.openxmlformats.org/officeDocument/2006/relationships/hyperlink" Target="https://actuary.info/insights/ai-regulation-insurance-naic-2026" TargetMode="External"/><Relationship Id="rId4" Type="http://schemas.openxmlformats.org/officeDocument/2006/relationships/hyperlink" Target="https://www.leaddistro.ai/blog/one-to-one-consent" TargetMode="External"/><Relationship Id="rId5" Type="http://schemas.openxmlformats.org/officeDocument/2006/relationships/hyperlink" Target="https://www.getinsureleads.com/blog/fcc-one-to-one-consent-rule-status-update-2026" TargetMode="External"/><Relationship Id="rId6" Type="http://schemas.openxmlformats.org/officeDocument/2006/relationships/hyperlink" Target="https://www.congress.gov/crs-product/IN10835" TargetMode="External"/><Relationship Id="rId7" Type="http://schemas.openxmlformats.org/officeDocument/2006/relationships/hyperlink" Target="https://www.insurance.ca.gov/01-consumers/180-climate-change/SustainableInsuranceStrategy.cfm" TargetMode="External"/><Relationship Id="rId8" Type="http://schemas.openxmlformats.org/officeDocument/2006/relationships/hyperlink" Target="https://www.insurance.ca.gov/0400-news/0100-press-releases/2025/release079-2025.cfm" TargetMode="External"/><Relationship Id="rId9" Type="http://schemas.openxmlformats.org/officeDocument/2006/relationships/hyperlink" Target="https://www.vilesandbeckman.com/blog/did-florida-repeal-no-fault-insurance-the-pip-myths-and-the-facts-for-2026/" TargetMode="External"/><Relationship Id="rId10" Type="http://schemas.openxmlformats.org/officeDocument/2006/relationships/hyperlink" Target="https://www.tdi.texas.gov/pubs/consumer/cb020.html" TargetMode="External"/><Relationship Id="rId11" Type="http://schemas.openxmlformats.org/officeDocument/2006/relationships/hyperlink" Target="https://coverageclassroom.com/learn/citizens-flood-insurance-requirement" TargetMode="External"/><Relationship Id="rId12" Type="http://schemas.openxmlformats.org/officeDocument/2006/relationships/hyperlink" Target="https://www.insuremojo.com/telematics-insurance-data-privacy-bills-2026/" TargetMode="External"/><Relationship Id="rId13" Type="http://schemas.openxmlformats.org/officeDocument/2006/relationships/hyperlink" Target="https://www.carinsurance.com/Articles/minimum-liability-car-insurance-requirements-by-state.aspx" TargetMode="External"/><Relationship Id="rId14" Type="http://schemas.openxmlformats.org/officeDocument/2006/relationships/hyperlink" Target="https://www.moneygeek.com/insurance/auto/which-insurance-companies-dont-check-credit-score/" TargetMode="External"/><Relationship Id="rId15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s://www.thezebra.com/" TargetMode="External"/><Relationship Id="rId2" Type="http://schemas.openxmlformats.org/officeDocument/2006/relationships/hyperlink" Target="https://insurify.com/car-insurance/" TargetMode="External"/><Relationship Id="rId3" Type="http://schemas.openxmlformats.org/officeDocument/2006/relationships/hyperlink" Target="https://www.compare.com/auto-insurance/compare-insurance-companies/best-car-insurance-comparison-sites" TargetMode="External"/><Relationship Id="rId4" Type="http://schemas.openxmlformats.org/officeDocument/2006/relationships/hyperlink" Target="https://www.thezebra.com/auto-insurance/" TargetMode="External"/><Relationship Id="rId5" Type="http://schemas.openxmlformats.org/officeDocument/2006/relationships/hyperlink" Target="https://www.insurance.ca.gov/01-consumers/105-type/95-guides/01-auto/auto101.cfm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s://www.geico.com/save/discounts/defensive-driver-discounts/" TargetMode="External"/><Relationship Id="rId2" Type="http://schemas.openxmlformats.org/officeDocument/2006/relationships/hyperlink" Target="https://www.statefarm.com/insurance/auto/discounts" TargetMode="External"/><Relationship Id="rId3" Type="http://schemas.openxmlformats.org/officeDocument/2006/relationships/hyperlink" Target="https://insurify.com/car-insurance/report/" TargetMode="External"/><Relationship Id="rId4" Type="http://schemas.openxmlformats.org/officeDocument/2006/relationships/hyperlink" Target="https://insurify.com/homeowners-insurance/insights/rates-increase-first-half-2026/" TargetMode="External"/><Relationship Id="rId5" Type="http://schemas.openxmlformats.org/officeDocument/2006/relationships/hyperlink" Target="https://insurify.com/car-insurance/coverage/telematics/" TargetMode="External"/><Relationship Id="rId6" Type="http://schemas.openxmlformats.org/officeDocument/2006/relationships/hyperlink" Target="https://www.thezebra.com/resources/research/car-insurance-rating-factors-by-state/" TargetMode="External"/><Relationship Id="rId7" Type="http://schemas.openxmlformats.org/officeDocument/2006/relationships/hyperlink" Target="https://www.autoinsurance.org/car-insurance-requirements/" TargetMode="External"/><Relationship Id="rId8" Type="http://schemas.openxmlformats.org/officeDocument/2006/relationships/hyperlink" Target="https://www.bankrate.com/insurance/car/are-telematics-programs-worth-the-discount/" TargetMode="External"/><Relationship Id="rId9" Type="http://schemas.openxmlformats.org/officeDocument/2006/relationships/hyperlink" Target="https://www.cnbc.com/2026/04/26/insurance-rates-credit-history.html" TargetMode="External"/><Relationship Id="rId10" Type="http://schemas.openxmlformats.org/officeDocument/2006/relationships/hyperlink" Target="https://www.cnbc.com/select/state-minimum-car-insurance-requirements/" TargetMode="External"/><Relationship Id="rId11" Type="http://schemas.openxmlformats.org/officeDocument/2006/relationships/hyperlink" Target="https://www.carinsurance.com/Articles/minimum-liability-car-insurance-requirements-by-state.aspx" TargetMode="External"/><Relationship Id="rId12" Type="http://schemas.openxmlformats.org/officeDocument/2006/relationships/hyperlink" Target="https://www.experian.com/blogs/ask-experian/average-cost-car-insurance/" TargetMode="External"/><Relationship Id="rId13" Type="http://schemas.openxmlformats.org/officeDocument/2006/relationships/hyperlink" Target="https://www.experian.com/blogs/ask-experian/which-states-prohibit-or-restrict-the-use-of-credit-based-insurance-scores/" TargetMode="External"/><Relationship Id="rId14" Type="http://schemas.openxmlformats.org/officeDocument/2006/relationships/hyperlink" Target="https://www.insurance.com/auto-insurance/car-insurance-discounts.html" TargetMode="External"/><Relationship Id="rId15" Type="http://schemas.openxmlformats.org/officeDocument/2006/relationships/hyperlink" Target="https://insurancenewsnet.com/oarticle/california-fair-plan-rates-going-up-29-1-in-late-2026" TargetMode="External"/><Relationship Id="rId16" Type="http://schemas.openxmlformats.org/officeDocument/2006/relationships/hyperlink" Target="https://www.kqed.org/news/12094860/california-fair-plan-announces-29-1-rate-hike-for-homeowners-this-fall" TargetMode="External"/><Relationship Id="rId17" Type="http://schemas.openxmlformats.org/officeDocument/2006/relationships/hyperlink" Target="https://www.kiplinger.com/personal-finance/insurance/umbrella-insurance/603237/how-much-umbrella-insurance-do-i-need" TargetMode="External"/><Relationship Id="rId18" Type="http://schemas.openxmlformats.org/officeDocument/2006/relationships/hyperlink" Target="https://www.moneygeek.com/insurance/auto/defensive-driver-courses/" TargetMode="External"/><Relationship Id="rId19" Type="http://schemas.openxmlformats.org/officeDocument/2006/relationships/hyperlink" Target="https://www.moneygeek.com/insurance/auto/which-insurance-companies-dont-check-credit-score/" TargetMode="External"/><Relationship Id="rId20" Type="http://schemas.openxmlformats.org/officeDocument/2006/relationships/hyperlink" Target="https://www.nerdwallet.com/insurance/homeowners/learn/average-homeowners-insurance-cost" TargetMode="External"/><Relationship Id="rId21" Type="http://schemas.openxmlformats.org/officeDocument/2006/relationships/hyperlink" Target="https://www.nerdwallet.com/insurance/homeowners/learn/umbrella-insurance" TargetMode="External"/><Relationship Id="rId22" Type="http://schemas.openxmlformats.org/officeDocument/2006/relationships/hyperlink" Target="https://www.newsweek.com/where-your-credit-score-can-cant-raise-insurance-costs-11885672" TargetMode="External"/><Relationship Id="rId23" Type="http://schemas.openxmlformats.org/officeDocument/2006/relationships/hyperlink" Target="https://media.rff.org/documents/WP_25-30.pdf" TargetMode="External"/><Relationship Id="rId24" Type="http://schemas.openxmlformats.org/officeDocument/2006/relationships/hyperlink" Target="https://www.usnews.com/insurance/auto/average-cost-of-car-insurance" TargetMode="External"/><Relationship Id="rId25" Type="http://schemas.openxmlformats.org/officeDocument/2006/relationships/hyperlink" Target="https://uphelp.org/should-states-ban-credit-based-insurance-scoring/" TargetMode="External"/><Relationship Id="rId26" Type="http://schemas.openxmlformats.org/officeDocument/2006/relationships/hyperlink" Target="https://www.valuepenguin.com/state-of-auto-insurance-2026" TargetMode="External"/><Relationship Id="rId27" Type="http://schemas.openxmlformats.org/officeDocument/2006/relationships/hyperlink" Target="https://www.law.cornell.edu/regulations/california/10-CCR-2632.12" TargetMode="External"/><Relationship Id="rId28" Type="http://schemas.openxmlformats.org/officeDocument/2006/relationships/hyperlink" Target="https://www.law.cornell.edu/regulations/california/10-CCR-2632.5" TargetMode="External"/><Relationship Id="rId29" Type="http://schemas.openxmlformats.org/officeDocument/2006/relationships/hyperlink" Target="https://www.dmv.ca.gov/portal/vehicle-registration/insurance-requirements/" TargetMode="External"/><Relationship Id="rId30" Type="http://schemas.openxmlformats.org/officeDocument/2006/relationships/hyperlink" Target="https://www.insurance.ca.gov/01-consumers/105-type/95-guides/03-res/eq-ins.cfm" TargetMode="External"/><Relationship Id="rId31" Type="http://schemas.openxmlformats.org/officeDocument/2006/relationships/hyperlink" Target="https://www.insurance.ca.gov/01-consumers/140-catastrophes/FloodFacts.cfm" TargetMode="External"/><Relationship Id="rId32" Type="http://schemas.openxmlformats.org/officeDocument/2006/relationships/hyperlink" Target="https://www.insurance.ca.gov/01-consumers/105-type/95-guides/upload/Homeowners-Insurance-Updated-121924.pdf" TargetMode="External"/><Relationship Id="rId33" Type="http://schemas.openxmlformats.org/officeDocument/2006/relationships/hyperlink" Target="https://www.insurance.ca.gov/01-consumers/105-type/95-guides/01-auto/auto101.cfm" TargetMode="External"/><Relationship Id="rId34" Type="http://schemas.openxmlformats.org/officeDocument/2006/relationships/hyperlink" Target="https://www.insurance.ca.gov/0400-news/0102-alerts/2024/California-s-Low-Cost-Auto-Insurance.cfm" TargetMode="External"/><Relationship Id="rId35" Type="http://schemas.openxmlformats.org/officeDocument/2006/relationships/hyperlink" Target="https://www.insurance.ca.gov/01-consumers/105-type/95-guides/03-res/res-ins-guide.cfm" TargetMode="External"/><Relationship Id="rId36" Type="http://schemas.openxmlformats.org/officeDocument/2006/relationships/hyperlink" Target="https://www.insurance.ca.gov/01-consumers/200-wrr/Safer-from-Wildfires.cfm" TargetMode="External"/><Relationship Id="rId37" Type="http://schemas.openxmlformats.org/officeDocument/2006/relationships/hyperlink" Target="https://www.insurance.ca.gov/01-consumers/180-climate-change/SustainableInsuranceStrategy.cfm" TargetMode="External"/><Relationship Id="rId38" Type="http://schemas.openxmlformats.org/officeDocument/2006/relationships/hyperlink" Target="https://law.justia.com/codes/california/code-ins/division-2/part-1/chapter-8-5/section-10083/" TargetMode="External"/><Relationship Id="rId39" Type="http://schemas.openxmlformats.org/officeDocument/2006/relationships/hyperlink" Target="https://codes.findlaw.com/ca/insurance-code/ins-sect-11628-3/" TargetMode="External"/><Relationship Id="rId40" Type="http://schemas.openxmlformats.org/officeDocument/2006/relationships/hyperlink" Target="https://law.justia.com/codes/california/code-ins/division-1/part-2/chapter-9/article-10/section-1861-025/" TargetMode="External"/><Relationship Id="rId41" Type="http://schemas.openxmlformats.org/officeDocument/2006/relationships/hyperlink" Target="https://www.insurance.ca.gov/0250-insurers/0300-insurers/0200-bulletins/bulletin-notices-commiss-opinion/upload/Advisory-Notice-2005-02.pdf" TargetMode="External"/><Relationship Id="rId42" Type="http://schemas.openxmlformats.org/officeDocument/2006/relationships/hyperlink" Target="https://www.insurance.ca.gov/0400-news/0100-press-releases/2025/release079-2025.cfm" TargetMode="External"/><Relationship Id="rId43" Type="http://schemas.openxmlformats.org/officeDocument/2006/relationships/hyperlink" Target="https://www.insurance.ca.gov/0400-news/0100-press-releases/2019/release089-19.cfm" TargetMode="External"/><Relationship Id="rId44" Type="http://schemas.openxmlformats.org/officeDocument/2006/relationships/hyperlink" Target="https://www.congress.gov/crs-product/R49353" TargetMode="External"/><Relationship Id="rId45" Type="http://schemas.openxmlformats.org/officeDocument/2006/relationships/hyperlink" Target="https://www.congress.gov/crs-product/IN10835" TargetMode="External"/><Relationship Id="rId46" Type="http://schemas.openxmlformats.org/officeDocument/2006/relationships/hyperlink" Target="https://www.earthquakeauthority.com/california-earthquake-insurance-policies/homeowners" TargetMode="External"/><Relationship Id="rId47" Type="http://schemas.openxmlformats.org/officeDocument/2006/relationships/hyperlink" Target="https://www.myfloridacfo.com/division/consumers/consumerprotections/floridashurricanedeductible" TargetMode="External"/><Relationship Id="rId48" Type="http://schemas.openxmlformats.org/officeDocument/2006/relationships/hyperlink" Target="https://www.flhsmv.gov/insurance/" TargetMode="External"/><Relationship Id="rId49" Type="http://schemas.openxmlformats.org/officeDocument/2006/relationships/hyperlink" Target="https://www.flsenate.gov/Laws/Statutes/2025/0626.9741" TargetMode="External"/><Relationship Id="rId50" Type="http://schemas.openxmlformats.org/officeDocument/2006/relationships/hyperlink" Target="https://flsenate.gov/Laws/Statutes/2003/627.06501" TargetMode="External"/><Relationship Id="rId51" Type="http://schemas.openxmlformats.org/officeDocument/2006/relationships/hyperlink" Target="https://www.flsenate.gov/laws/statutes/2012/627.0652" TargetMode="External"/><Relationship Id="rId52" Type="http://schemas.openxmlformats.org/officeDocument/2006/relationships/hyperlink" Target="https://codes.findlaw.com/fl/title-xxxvii-insurance/fl-st-sect-627-701/" TargetMode="External"/><Relationship Id="rId53" Type="http://schemas.openxmlformats.org/officeDocument/2006/relationships/hyperlink" Target="https://law.justia.com/codes/florida/title-xxxvii/chapter-627/part-xi/section-627-728/" TargetMode="External"/><Relationship Id="rId54" Type="http://schemas.openxmlformats.org/officeDocument/2006/relationships/hyperlink" Target="https://www.flsenate.gov/Laws/Statutes/2022/Chapter324/All" TargetMode="External"/><Relationship Id="rId55" Type="http://schemas.openxmlformats.org/officeDocument/2006/relationships/hyperlink" Target="https://www.flsenate.gov/Laws/Statutes/2025/Chapter627/All" TargetMode="External"/><Relationship Id="rId56" Type="http://schemas.openxmlformats.org/officeDocument/2006/relationships/hyperlink" Target="https://content.naic.org/sites/default/files/consumer-auto-shopping-tool.pdf" TargetMode="External"/><Relationship Id="rId57" Type="http://schemas.openxmlformats.org/officeDocument/2006/relationships/hyperlink" Target="https://www.dfs.ny.gov/faqs/consumer-auto/how-much-auto-insurance-must-i-carry" TargetMode="External"/><Relationship Id="rId58" Type="http://schemas.openxmlformats.org/officeDocument/2006/relationships/hyperlink" Target="https://www.dfs.ny.gov/consumers/auto_insurance/discounts_list" TargetMode="External"/><Relationship Id="rId59" Type="http://schemas.openxmlformats.org/officeDocument/2006/relationships/hyperlink" Target="https://www.dfs.ny.gov/consumers/auto_insurance/Auto_resource_center" TargetMode="External"/><Relationship Id="rId60" Type="http://schemas.openxmlformats.org/officeDocument/2006/relationships/hyperlink" Target="https://leginfo.legislature.ca.gov/faces/billNavClient.xhtml?bill_id=202120220SB1107" TargetMode="External"/><Relationship Id="rId61" Type="http://schemas.openxmlformats.org/officeDocument/2006/relationships/hyperlink" Target="https://www.twia.org/flood-requirement/" TargetMode="External"/><Relationship Id="rId62" Type="http://schemas.openxmlformats.org/officeDocument/2006/relationships/hyperlink" Target="https://www.tdi.texas.gov/pubs/consumer/cb020.html" TargetMode="External"/><Relationship Id="rId63" Type="http://schemas.openxmlformats.org/officeDocument/2006/relationships/hyperlink" Target="https://tdi.texas.gov/blog/category/home-property.html" TargetMode="External"/><Relationship Id="rId64" Type="http://schemas.openxmlformats.org/officeDocument/2006/relationships/hyperlink" Target="https://www.tdi.texas.gov/pubs/consumer/cb025.html" TargetMode="External"/><Relationship Id="rId65" Type="http://schemas.openxmlformats.org/officeDocument/2006/relationships/hyperlink" Target="https://www.tdi.texas.gov/general/texas-homeowners-insurance-market-overview.html" TargetMode="External"/><Relationship Id="rId66" Type="http://schemas.openxmlformats.org/officeDocument/2006/relationships/hyperlink" Target="https://aegivra.com/guides/texas-homeowners-insurance-guide" TargetMode="External"/><Relationship Id="rId67" Type="http://schemas.openxmlformats.org/officeDocument/2006/relationships/hyperlink" Target="https://www.ashmorelaw.com/blog/car-insurance-do-you-have-enough-.cfm" TargetMode="External"/><Relationship Id="rId68" Type="http://schemas.openxmlformats.org/officeDocument/2006/relationships/hyperlink" Target="https://atesariskadvisors.com/blog/florida-private-flood-insurance-vs-nfip-2026" TargetMode="External"/><Relationship Id="rId69" Type="http://schemas.openxmlformats.org/officeDocument/2006/relationships/hyperlink" Target="https://beachinsurancellc.com/blog/state-minimum-car-insurance-requirements-for-2026-your-essential-guide" TargetMode="External"/><Relationship Id="rId70" Type="http://schemas.openxmlformats.org/officeDocument/2006/relationships/hyperlink" Target="https://www.cigflorida.com/policy-updates-for-florida-homeowners/" TargetMode="External"/><Relationship Id="rId71" Type="http://schemas.openxmlformats.org/officeDocument/2006/relationships/hyperlink" Target="https://cincoautoinsurance.com/auto-insurance/cost/" TargetMode="External"/><Relationship Id="rId72" Type="http://schemas.openxmlformats.org/officeDocument/2006/relationships/hyperlink" Target="https://coverageclassroom.com/learn/citizens-flood-insurance-requirement" TargetMode="External"/><Relationship Id="rId73" Type="http://schemas.openxmlformats.org/officeDocument/2006/relationships/hyperlink" Target="https://coverageclassroom.com/learn/hurricane-insurance-florida-guide" TargetMode="External"/><Relationship Id="rId74" Type="http://schemas.openxmlformats.org/officeDocument/2006/relationships/hyperlink" Target="https://coveragecriteria.com/articles/minimum-auto-insurance-by-state" TargetMode="External"/><Relationship Id="rId75" Type="http://schemas.openxmlformats.org/officeDocument/2006/relationships/hyperlink" Target="https://www.earthquakenearme.com/en/blog/earthquake-insurance-california" TargetMode="External"/><Relationship Id="rId76" Type="http://schemas.openxmlformats.org/officeDocument/2006/relationships/hyperlink" Target="https://expressfinancial.net/p/earthquake-insurance-california" TargetMode="External"/><Relationship Id="rId77" Type="http://schemas.openxmlformats.org/officeDocument/2006/relationships/hyperlink" Target="https://insurtool.com/tools/average-car-insurance-cost/" TargetMode="External"/><Relationship Id="rId78" Type="http://schemas.openxmlformats.org/officeDocument/2006/relationships/hyperlink" Target="https://www.insurancegeek.com/auto-insurance/state-minimum-car-insurance-limits/" TargetMode="External"/><Relationship Id="rId79" Type="http://schemas.openxmlformats.org/officeDocument/2006/relationships/hyperlink" Target="https://www.getinsureleads.com/blog/fcc-one-to-one-consent-rule-status-update-2026" TargetMode="External"/><Relationship Id="rId80" Type="http://schemas.openxmlformats.org/officeDocument/2006/relationships/hyperlink" Target="https://www.insuremojo.com/telematics-insurance-discount-programs/" TargetMode="External"/><Relationship Id="rId81" Type="http://schemas.openxmlformats.org/officeDocument/2006/relationships/hyperlink" Target="https://www.insuremojo.com/telematics-insurance-data-privacy-bills-2026/" TargetMode="External"/><Relationship Id="rId82" Type="http://schemas.openxmlformats.org/officeDocument/2006/relationships/hyperlink" Target="https://www.insuredbetter.com/car-insurance/compare-auto-coverage/rate-cost/" TargetMode="External"/><Relationship Id="rId83" Type="http://schemas.openxmlformats.org/officeDocument/2006/relationships/hyperlink" Target="https://www.latentinsure.com/texas-homeowners-insurance/twia" TargetMode="External"/><Relationship Id="rId84" Type="http://schemas.openxmlformats.org/officeDocument/2006/relationships/hyperlink" Target="https://www.leaddistro.ai/blog/one-to-one-consent" TargetMode="External"/><Relationship Id="rId85" Type="http://schemas.openxmlformats.org/officeDocument/2006/relationships/hyperlink" Target="https://thelendersnetwork.com/flood-insurance-mortgage-requirements/" TargetMode="External"/><Relationship Id="rId86" Type="http://schemas.openxmlformats.org/officeDocument/2006/relationships/hyperlink" Target="https://www.meilynx.com/reference/naic-ai-model-bulletin" TargetMode="External"/><Relationship Id="rId87" Type="http://schemas.openxmlformats.org/officeDocument/2006/relationships/hyperlink" Target="https://www.quoteyeti.com/blog/telematics-tradeoffs/" TargetMode="External"/><Relationship Id="rId88" Type="http://schemas.openxmlformats.org/officeDocument/2006/relationships/hyperlink" Target="https://www.realcostreport.com/insurance/home-insurance/umbrella-insurance-cost/" TargetMode="External"/><Relationship Id="rId89" Type="http://schemas.openxmlformats.org/officeDocument/2006/relationships/hyperlink" Target="https://www.safedriver.com/news/defensive-driving-for-insurance-discount-2026-how-much-you-can-really-save" TargetMode="External"/><Relationship Id="rId90" Type="http://schemas.openxmlformats.org/officeDocument/2006/relationships/hyperlink" Target="https://techsavvyinsurance.com/answers/which-states-adopted-naic-ai-model-bulletin/" TargetMode="External"/><Relationship Id="rId91" Type="http://schemas.openxmlformats.org/officeDocument/2006/relationships/hyperlink" Target="https://usecalcpro.com/finance/umbrella-insurance-quote-calculator" TargetMode="External"/><Relationship Id="rId92" Type="http://schemas.openxmlformats.org/officeDocument/2006/relationships/hyperlink" Target="https://www.vilesandbeckman.com/blog/did-florida-repeal-no-fault-insurance-the-pip-myths-and-the-facts-for-2026/" TargetMode="External"/><Relationship Id="rId93" Type="http://schemas.openxmlformats.org/officeDocument/2006/relationships/hyperlink" Target="https://walletgrower.com/insurance/homeowners-insurance/flood-insurance" TargetMode="External"/><Relationship Id="rId94" Type="http://schemas.openxmlformats.org/officeDocument/2006/relationships/hyperlink" Target="https://actuary.info/insights/ai-regulation-insurance-naic-2026" TargetMode="External"/><Relationship Id="rId95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22"/>
  </cols>
  <sheetData>
    <row r="1" customFormat="false" ht="17.35" hidden="false" customHeight="false" outlineLevel="0" collapsed="false">
      <c r="A1" s="1" t="s">
        <v>0</v>
      </c>
    </row>
    <row r="3" customFormat="false" ht="45" hidden="false" customHeight="true" outlineLevel="0" collapsed="false">
      <c r="A3" s="2" t="s">
        <v>1</v>
      </c>
      <c r="B3" s="3" t="s">
        <v>2</v>
      </c>
      <c r="C3" s="3"/>
      <c r="D3" s="3"/>
      <c r="E3" s="3"/>
      <c r="F3" s="3"/>
    </row>
    <row r="4" customFormat="false" ht="15" hidden="false" customHeight="false" outlineLevel="0" collapsed="false">
      <c r="A4" s="2" t="s">
        <v>3</v>
      </c>
      <c r="B4" s="4" t="n">
        <v>46295</v>
      </c>
    </row>
    <row r="5" customFormat="false" ht="45" hidden="false" customHeight="true" outlineLevel="0" collapsed="false">
      <c r="A5" s="2" t="s">
        <v>4</v>
      </c>
      <c r="B5" s="3" t="s">
        <v>5</v>
      </c>
      <c r="C5" s="3"/>
      <c r="D5" s="3"/>
      <c r="E5" s="3"/>
      <c r="F5" s="3"/>
    </row>
    <row r="6" customFormat="false" ht="45" hidden="false" customHeight="true" outlineLevel="0" collapsed="false">
      <c r="A6" s="2" t="s">
        <v>6</v>
      </c>
      <c r="B6" s="3" t="s">
        <v>7</v>
      </c>
      <c r="C6" s="3"/>
      <c r="D6" s="3"/>
      <c r="E6" s="3"/>
      <c r="F6" s="3"/>
    </row>
    <row r="7" customFormat="false" ht="45" hidden="false" customHeight="true" outlineLevel="0" collapsed="false">
      <c r="A7" s="2" t="s">
        <v>8</v>
      </c>
      <c r="B7" s="3" t="s">
        <v>9</v>
      </c>
      <c r="C7" s="3"/>
      <c r="D7" s="3"/>
      <c r="E7" s="3"/>
      <c r="F7" s="3"/>
    </row>
    <row r="9" customFormat="false" ht="15" hidden="false" customHeight="false" outlineLevel="0" collapsed="false">
      <c r="A9" s="2" t="s">
        <v>10</v>
      </c>
    </row>
    <row r="10" customFormat="false" ht="30" hidden="false" customHeight="true" outlineLevel="0" collapsed="false">
      <c r="A10" s="5" t="s">
        <v>11</v>
      </c>
      <c r="B10" s="3" t="s">
        <v>12</v>
      </c>
      <c r="C10" s="3"/>
      <c r="D10" s="3"/>
      <c r="E10" s="3"/>
      <c r="F10" s="3"/>
    </row>
    <row r="11" customFormat="false" ht="30" hidden="false" customHeight="true" outlineLevel="0" collapsed="false">
      <c r="A11" s="6" t="s">
        <v>13</v>
      </c>
      <c r="B11" s="3" t="s">
        <v>14</v>
      </c>
      <c r="C11" s="3"/>
      <c r="D11" s="3"/>
      <c r="E11" s="3"/>
      <c r="F11" s="3"/>
    </row>
    <row r="12" customFormat="false" ht="30" hidden="false" customHeight="true" outlineLevel="0" collapsed="false">
      <c r="A12" s="7" t="s">
        <v>15</v>
      </c>
      <c r="B12" s="3" t="s">
        <v>16</v>
      </c>
      <c r="C12" s="3"/>
      <c r="D12" s="3"/>
      <c r="E12" s="3"/>
      <c r="F12" s="3"/>
    </row>
    <row r="13" customFormat="false" ht="30" hidden="false" customHeight="true" outlineLevel="0" collapsed="false">
      <c r="A13" s="8" t="s">
        <v>17</v>
      </c>
      <c r="B13" s="3" t="s">
        <v>18</v>
      </c>
      <c r="C13" s="3"/>
      <c r="D13" s="3"/>
      <c r="E13" s="3"/>
      <c r="F13" s="3"/>
    </row>
    <row r="15" customFormat="false" ht="15" hidden="false" customHeight="false" outlineLevel="0" collapsed="false">
      <c r="A15" s="2" t="s">
        <v>19</v>
      </c>
    </row>
    <row r="16" customFormat="false" ht="15" hidden="false" customHeight="false" outlineLevel="0" collapsed="false">
      <c r="A16" s="9" t="s">
        <v>20</v>
      </c>
      <c r="B16" s="9" t="s">
        <v>11</v>
      </c>
      <c r="C16" s="9" t="s">
        <v>13</v>
      </c>
      <c r="D16" s="9" t="s">
        <v>15</v>
      </c>
      <c r="E16" s="9" t="s">
        <v>17</v>
      </c>
      <c r="F16" s="9" t="s">
        <v>21</v>
      </c>
    </row>
    <row r="17" customFormat="false" ht="15" hidden="false" customHeight="false" outlineLevel="0" collapsed="false">
      <c r="A17" s="10" t="s">
        <v>22</v>
      </c>
      <c r="B17" s="10" t="n">
        <f aca="false">COUNTIF('State Min Limits'!$N$2:$N$500,"Primary source")</f>
        <v>4</v>
      </c>
      <c r="C17" s="10" t="n">
        <f aca="false">COUNTIF('State Min Limits'!$N$2:$N$500,"Secondary - unverified")</f>
        <v>13</v>
      </c>
      <c r="D17" s="10" t="n">
        <f aca="false">COUNTIF('State Min Limits'!$N$2:$N$500,"Conflicting")</f>
        <v>2</v>
      </c>
      <c r="E17" s="10" t="n">
        <f aca="false">COUNTIF('State Min Limits'!$N$2:$N$500,"Not researched")</f>
        <v>32</v>
      </c>
      <c r="F17" s="10" t="n">
        <f aca="false">SUM(B17:E17)</f>
        <v>51</v>
      </c>
    </row>
    <row r="18" customFormat="false" ht="15" hidden="false" customHeight="false" outlineLevel="0" collapsed="false">
      <c r="A18" s="10" t="s">
        <v>23</v>
      </c>
      <c r="B18" s="10" t="n">
        <f aca="false">COUNTIF('Rating Factors'!$L$2:$L$500,"Primary source")</f>
        <v>4</v>
      </c>
      <c r="C18" s="10" t="n">
        <f aca="false">COUNTIF('Rating Factors'!$L$2:$L$500,"Secondary - unverified")</f>
        <v>7</v>
      </c>
      <c r="D18" s="10" t="n">
        <f aca="false">COUNTIF('Rating Factors'!$L$2:$L$500,"Conflicting")</f>
        <v>2</v>
      </c>
      <c r="E18" s="10" t="n">
        <f aca="false">COUNTIF('Rating Factors'!$L$2:$L$500,"Not researched")</f>
        <v>0</v>
      </c>
      <c r="F18" s="10" t="n">
        <f aca="false">SUM(B18:E18)</f>
        <v>13</v>
      </c>
    </row>
    <row r="19" customFormat="false" ht="15" hidden="false" customHeight="false" outlineLevel="0" collapsed="false">
      <c r="A19" s="10" t="s">
        <v>24</v>
      </c>
      <c r="B19" s="10" t="n">
        <f aca="false">COUNTIF(Discounts!$K$2:$K$500,"Primary source")</f>
        <v>20</v>
      </c>
      <c r="C19" s="10" t="n">
        <f aca="false">COUNTIF(Discounts!$K$2:$K$500,"Secondary - unverified")</f>
        <v>9</v>
      </c>
      <c r="D19" s="10" t="n">
        <f aca="false">COUNTIF(Discounts!$K$2:$K$500,"Conflicting")</f>
        <v>1</v>
      </c>
      <c r="E19" s="10" t="n">
        <f aca="false">COUNTIF(Discounts!$K$2:$K$500,"Not researched")</f>
        <v>0</v>
      </c>
      <c r="F19" s="10" t="n">
        <f aca="false">SUM(B19:E19)</f>
        <v>30</v>
      </c>
    </row>
    <row r="20" customFormat="false" ht="15" hidden="false" customHeight="false" outlineLevel="0" collapsed="false">
      <c r="A20" s="10" t="s">
        <v>25</v>
      </c>
      <c r="B20" s="10" t="n">
        <f aca="false">COUNTIF(Telematics!$M$2:$M$500,"Primary source")</f>
        <v>1</v>
      </c>
      <c r="C20" s="10" t="n">
        <f aca="false">COUNTIF(Telematics!$M$2:$M$500,"Secondary - unverified")</f>
        <v>5</v>
      </c>
      <c r="D20" s="10" t="n">
        <f aca="false">COUNTIF(Telematics!$M$2:$M$500,"Conflicting")</f>
        <v>2</v>
      </c>
      <c r="E20" s="10" t="n">
        <f aca="false">COUNTIF(Telematics!$M$2:$M$500,"Not researched")</f>
        <v>2</v>
      </c>
      <c r="F20" s="10" t="n">
        <f aca="false">SUM(B20:E20)</f>
        <v>10</v>
      </c>
    </row>
    <row r="21" customFormat="false" ht="15" hidden="false" customHeight="false" outlineLevel="0" collapsed="false">
      <c r="A21" s="10" t="s">
        <v>26</v>
      </c>
      <c r="B21" s="10" t="n">
        <f aca="false">COUNTIF('Coverage Details'!$J$2:$J$500,"Primary source")</f>
        <v>5</v>
      </c>
      <c r="C21" s="10" t="n">
        <f aca="false">COUNTIF('Coverage Details'!$J$2:$J$500,"Secondary - unverified")</f>
        <v>16</v>
      </c>
      <c r="D21" s="10" t="n">
        <f aca="false">COUNTIF('Coverage Details'!$J$2:$J$500,"Conflicting")</f>
        <v>2</v>
      </c>
      <c r="E21" s="10" t="n">
        <f aca="false">COUNTIF('Coverage Details'!$J$2:$J$500,"Not researched")</f>
        <v>0</v>
      </c>
      <c r="F21" s="10" t="n">
        <f aca="false">SUM(B21:E21)</f>
        <v>23</v>
      </c>
    </row>
    <row r="22" customFormat="false" ht="15" hidden="false" customHeight="false" outlineLevel="0" collapsed="false">
      <c r="A22" s="10" t="s">
        <v>27</v>
      </c>
      <c r="B22" s="10" t="n">
        <f aca="false">COUNTIF('Price Benchmarks'!$K$2:$K$500,"Primary source")</f>
        <v>0</v>
      </c>
      <c r="C22" s="10" t="n">
        <f aca="false">COUNTIF('Price Benchmarks'!$K$2:$K$500,"Secondary - unverified")</f>
        <v>13</v>
      </c>
      <c r="D22" s="10" t="n">
        <f aca="false">COUNTIF('Price Benchmarks'!$K$2:$K$500,"Conflicting")</f>
        <v>0</v>
      </c>
      <c r="E22" s="10" t="n">
        <f aca="false">COUNTIF('Price Benchmarks'!$K$2:$K$500,"Not researched")</f>
        <v>0</v>
      </c>
      <c r="F22" s="10" t="n">
        <f aca="false">SUM(B22:E22)</f>
        <v>13</v>
      </c>
    </row>
    <row r="23" customFormat="false" ht="15" hidden="false" customHeight="false" outlineLevel="0" collapsed="false">
      <c r="A23" s="10" t="s">
        <v>28</v>
      </c>
      <c r="B23" s="10" t="n">
        <f aca="false">COUNTIF('Regulatory Watch'!$J$2:$J$500,"Primary source")</f>
        <v>3</v>
      </c>
      <c r="C23" s="10" t="n">
        <f aca="false">COUNTIF('Regulatory Watch'!$J$2:$J$500,"Secondary - unverified")</f>
        <v>11</v>
      </c>
      <c r="D23" s="10" t="n">
        <f aca="false">COUNTIF('Regulatory Watch'!$J$2:$J$500,"Conflicting")</f>
        <v>0</v>
      </c>
      <c r="E23" s="10" t="n">
        <f aca="false">COUNTIF('Regulatory Watch'!$J$2:$J$500,"Not researched")</f>
        <v>0</v>
      </c>
      <c r="F23" s="10" t="n">
        <f aca="false">SUM(B23:E23)</f>
        <v>14</v>
      </c>
    </row>
    <row r="24" customFormat="false" ht="15" hidden="false" customHeight="false" outlineLevel="0" collapsed="false">
      <c r="A24" s="10" t="s">
        <v>29</v>
      </c>
      <c r="B24" s="10" t="n">
        <f aca="false">COUNTIF('CA Auto Verified'!$J$2:$J$500,"Primary source")</f>
        <v>30</v>
      </c>
      <c r="C24" s="10" t="n">
        <f aca="false">COUNTIF('CA Auto Verified'!$J$2:$J$500,"Secondary - unverified")</f>
        <v>1</v>
      </c>
      <c r="D24" s="10" t="n">
        <f aca="false">COUNTIF('CA Auto Verified'!$J$2:$J$500,"Conflicting")</f>
        <v>0</v>
      </c>
      <c r="E24" s="10" t="n">
        <f aca="false">COUNTIF('CA Auto Verified'!$J$2:$J$500,"Not researched")</f>
        <v>0</v>
      </c>
      <c r="F24" s="10" t="n">
        <f aca="false">SUM(B24:E24)</f>
        <v>31</v>
      </c>
    </row>
    <row r="25" customFormat="false" ht="15" hidden="false" customHeight="false" outlineLevel="0" collapsed="false">
      <c r="A25" s="10" t="s">
        <v>30</v>
      </c>
      <c r="B25" s="10" t="n">
        <f aca="false">COUNTIF('CA Home Verified'!$J$2:$J$500,"Primary source")</f>
        <v>41</v>
      </c>
      <c r="C25" s="10" t="n">
        <f aca="false">COUNTIF('CA Home Verified'!$J$2:$J$500,"Secondary - unverified")</f>
        <v>3</v>
      </c>
      <c r="D25" s="10" t="n">
        <f aca="false">COUNTIF('CA Home Verified'!$J$2:$J$500,"Conflicting")</f>
        <v>0</v>
      </c>
      <c r="E25" s="10" t="n">
        <f aca="false">COUNTIF('CA Home Verified'!$J$2:$J$500,"Not researched")</f>
        <v>0</v>
      </c>
      <c r="F25" s="10" t="n">
        <f aca="false">SUM(B25:E25)</f>
        <v>44</v>
      </c>
    </row>
    <row r="26" customFormat="false" ht="15" hidden="false" customHeight="false" outlineLevel="0" collapsed="false">
      <c r="A26" s="10" t="s">
        <v>31</v>
      </c>
      <c r="B26" s="10" t="n">
        <f aca="false">COUNTIF('TX Auto Verified'!$J$2:$J$500,"Primary source")</f>
        <v>16</v>
      </c>
      <c r="C26" s="10" t="n">
        <f aca="false">COUNTIF('TX Auto Verified'!$J$2:$J$500,"Secondary - unverified")</f>
        <v>1</v>
      </c>
      <c r="D26" s="10" t="n">
        <f aca="false">COUNTIF('TX Auto Verified'!$J$2:$J$500,"Conflicting")</f>
        <v>1</v>
      </c>
      <c r="E26" s="10" t="n">
        <f aca="false">COUNTIF('TX Auto Verified'!$J$2:$J$500,"Not researched")</f>
        <v>0</v>
      </c>
      <c r="F26" s="10" t="n">
        <f aca="false">SUM(B26:E26)</f>
        <v>18</v>
      </c>
    </row>
    <row r="27" customFormat="false" ht="15" hidden="false" customHeight="false" outlineLevel="0" collapsed="false">
      <c r="A27" s="10" t="s">
        <v>32</v>
      </c>
      <c r="B27" s="10" t="n">
        <f aca="false">COUNTIF('FL Auto Verified'!$J$2:$J$500,"Primary source")</f>
        <v>8</v>
      </c>
      <c r="C27" s="10" t="n">
        <f aca="false">COUNTIF('FL Auto Verified'!$J$2:$J$500,"Secondary - unverified")</f>
        <v>4</v>
      </c>
      <c r="D27" s="10" t="n">
        <f aca="false">COUNTIF('FL Auto Verified'!$J$2:$J$500,"Conflicting")</f>
        <v>0</v>
      </c>
      <c r="E27" s="10" t="n">
        <f aca="false">COUNTIF('FL Auto Verified'!$J$2:$J$500,"Not researched")</f>
        <v>1</v>
      </c>
      <c r="F27" s="10" t="n">
        <f aca="false">SUM(B27:E27)</f>
        <v>13</v>
      </c>
    </row>
    <row r="28" customFormat="false" ht="15" hidden="false" customHeight="false" outlineLevel="0" collapsed="false">
      <c r="A28" s="10" t="s">
        <v>33</v>
      </c>
      <c r="B28" s="10" t="n">
        <f aca="false">COUNTIF('NY Auto Verified'!$J$2:$J$500,"Primary source")</f>
        <v>22</v>
      </c>
      <c r="C28" s="10" t="n">
        <f aca="false">COUNTIF('NY Auto Verified'!$J$2:$J$500,"Secondary - unverified")</f>
        <v>0</v>
      </c>
      <c r="D28" s="10" t="n">
        <f aca="false">COUNTIF('NY Auto Verified'!$J$2:$J$500,"Conflicting")</f>
        <v>0</v>
      </c>
      <c r="E28" s="10" t="n">
        <f aca="false">COUNTIF('NY Auto Verified'!$J$2:$J$500,"Not researched")</f>
        <v>0</v>
      </c>
      <c r="F28" s="10" t="n">
        <f aca="false">SUM(B28:E28)</f>
        <v>22</v>
      </c>
    </row>
    <row r="29" customFormat="false" ht="15" hidden="false" customHeight="false" outlineLevel="0" collapsed="false">
      <c r="A29" s="10" t="s">
        <v>34</v>
      </c>
      <c r="B29" s="10" t="n">
        <f aca="false">COUNTIF('TX Home Verified'!$J$2:$J$500,"Primary source")</f>
        <v>13</v>
      </c>
      <c r="C29" s="10" t="n">
        <f aca="false">COUNTIF('TX Home Verified'!$J$2:$J$500,"Secondary - unverified")</f>
        <v>2</v>
      </c>
      <c r="D29" s="10" t="n">
        <f aca="false">COUNTIF('TX Home Verified'!$J$2:$J$500,"Conflicting")</f>
        <v>1</v>
      </c>
      <c r="E29" s="10" t="n">
        <f aca="false">COUNTIF('TX Home Verified'!$J$2:$J$500,"Not researched")</f>
        <v>0</v>
      </c>
      <c r="F29" s="10" t="n">
        <f aca="false">SUM(B29:E29)</f>
        <v>16</v>
      </c>
    </row>
    <row r="30" customFormat="false" ht="15" hidden="false" customHeight="false" outlineLevel="0" collapsed="false">
      <c r="A30" s="10" t="s">
        <v>35</v>
      </c>
      <c r="B30" s="10" t="n">
        <f aca="false">COUNTIF('FL Home Verified'!$J$2:$J$500,"Primary source")</f>
        <v>6</v>
      </c>
      <c r="C30" s="10" t="n">
        <f aca="false">COUNTIF('FL Home Verified'!$J$2:$J$500,"Secondary - unverified")</f>
        <v>6</v>
      </c>
      <c r="D30" s="10" t="n">
        <f aca="false">COUNTIF('FL Home Verified'!$J$2:$J$500,"Conflicting")</f>
        <v>0</v>
      </c>
      <c r="E30" s="10" t="n">
        <f aca="false">COUNTIF('FL Home Verified'!$J$2:$J$500,"Not researched")</f>
        <v>0</v>
      </c>
      <c r="F30" s="10" t="n">
        <f aca="false">SUM(B30:E30)</f>
        <v>12</v>
      </c>
    </row>
    <row r="31" customFormat="false" ht="15" hidden="false" customHeight="false" outlineLevel="0" collapsed="false">
      <c r="A31" s="2" t="s">
        <v>36</v>
      </c>
      <c r="B31" s="2" t="n">
        <f aca="false">SUM(B17:B30)</f>
        <v>173</v>
      </c>
      <c r="C31" s="2" t="n">
        <f aca="false">SUM(C17:C30)</f>
        <v>91</v>
      </c>
      <c r="D31" s="2" t="n">
        <f aca="false">SUM(D17:D30)</f>
        <v>11</v>
      </c>
      <c r="E31" s="2" t="n">
        <f aca="false">SUM(E17:E30)</f>
        <v>35</v>
      </c>
      <c r="F31" s="2" t="n">
        <f aca="false">SUM(F17:F30)</f>
        <v>310</v>
      </c>
    </row>
    <row r="33" customFormat="false" ht="15" hidden="false" customHeight="false" outlineLevel="0" collapsed="false">
      <c r="A33" s="2" t="s">
        <v>37</v>
      </c>
    </row>
    <row r="34" customFormat="false" ht="15" hidden="false" customHeight="false" outlineLevel="0" collapsed="false">
      <c r="A34" s="10" t="s">
        <v>34</v>
      </c>
      <c r="B34" s="11" t="s">
        <v>38</v>
      </c>
      <c r="C34" s="11"/>
      <c r="D34" s="11"/>
      <c r="E34" s="11"/>
      <c r="F34" s="11"/>
    </row>
    <row r="35" customFormat="false" ht="15" hidden="false" customHeight="false" outlineLevel="0" collapsed="false">
      <c r="A35" s="10" t="s">
        <v>35</v>
      </c>
      <c r="B35" s="11" t="s">
        <v>39</v>
      </c>
      <c r="C35" s="11"/>
      <c r="D35" s="11"/>
      <c r="E35" s="11"/>
      <c r="F35" s="11"/>
    </row>
    <row r="36" customFormat="false" ht="15" hidden="false" customHeight="false" outlineLevel="0" collapsed="false">
      <c r="A36" s="10" t="s">
        <v>31</v>
      </c>
      <c r="B36" s="11" t="s">
        <v>40</v>
      </c>
      <c r="C36" s="11"/>
      <c r="D36" s="11"/>
      <c r="E36" s="11"/>
      <c r="F36" s="11"/>
    </row>
    <row r="37" customFormat="false" ht="15" hidden="false" customHeight="false" outlineLevel="0" collapsed="false">
      <c r="A37" s="10" t="s">
        <v>32</v>
      </c>
      <c r="B37" s="11" t="s">
        <v>41</v>
      </c>
      <c r="C37" s="11"/>
      <c r="D37" s="11"/>
      <c r="E37" s="11"/>
      <c r="F37" s="11"/>
    </row>
    <row r="38" customFormat="false" ht="15" hidden="false" customHeight="false" outlineLevel="0" collapsed="false">
      <c r="A38" s="10" t="s">
        <v>33</v>
      </c>
      <c r="B38" s="11" t="s">
        <v>42</v>
      </c>
      <c r="C38" s="11"/>
      <c r="D38" s="11"/>
      <c r="E38" s="11"/>
      <c r="F38" s="11"/>
    </row>
    <row r="39" customFormat="false" ht="15" hidden="false" customHeight="false" outlineLevel="0" collapsed="false">
      <c r="A39" s="10" t="s">
        <v>30</v>
      </c>
      <c r="B39" s="11" t="s">
        <v>43</v>
      </c>
      <c r="C39" s="11"/>
      <c r="D39" s="11"/>
      <c r="E39" s="11"/>
      <c r="F39" s="11"/>
    </row>
    <row r="40" customFormat="false" ht="15" hidden="false" customHeight="false" outlineLevel="0" collapsed="false">
      <c r="A40" s="10" t="s">
        <v>29</v>
      </c>
      <c r="B40" s="11" t="s">
        <v>44</v>
      </c>
      <c r="C40" s="11"/>
      <c r="D40" s="11"/>
      <c r="E40" s="11"/>
      <c r="F40" s="11"/>
    </row>
    <row r="41" customFormat="false" ht="15" hidden="false" customHeight="false" outlineLevel="0" collapsed="false">
      <c r="A41" s="10" t="s">
        <v>22</v>
      </c>
      <c r="B41" s="11" t="s">
        <v>45</v>
      </c>
      <c r="C41" s="11"/>
      <c r="D41" s="11"/>
      <c r="E41" s="11"/>
      <c r="F41" s="11"/>
    </row>
    <row r="42" customFormat="false" ht="15" hidden="false" customHeight="false" outlineLevel="0" collapsed="false">
      <c r="A42" s="10" t="s">
        <v>23</v>
      </c>
      <c r="B42" s="11" t="s">
        <v>46</v>
      </c>
      <c r="C42" s="11"/>
      <c r="D42" s="11"/>
      <c r="E42" s="11"/>
      <c r="F42" s="11"/>
    </row>
    <row r="43" customFormat="false" ht="15" hidden="false" customHeight="false" outlineLevel="0" collapsed="false">
      <c r="A43" s="10" t="s">
        <v>24</v>
      </c>
      <c r="B43" s="11" t="s">
        <v>47</v>
      </c>
      <c r="C43" s="11"/>
      <c r="D43" s="11"/>
      <c r="E43" s="11"/>
      <c r="F43" s="11"/>
    </row>
    <row r="44" customFormat="false" ht="15" hidden="false" customHeight="false" outlineLevel="0" collapsed="false">
      <c r="A44" s="10" t="s">
        <v>25</v>
      </c>
      <c r="B44" s="11" t="s">
        <v>48</v>
      </c>
      <c r="C44" s="11"/>
      <c r="D44" s="11"/>
      <c r="E44" s="11"/>
      <c r="F44" s="11"/>
    </row>
    <row r="45" customFormat="false" ht="15" hidden="false" customHeight="false" outlineLevel="0" collapsed="false">
      <c r="A45" s="10" t="s">
        <v>26</v>
      </c>
      <c r="B45" s="11" t="s">
        <v>49</v>
      </c>
      <c r="C45" s="11"/>
      <c r="D45" s="11"/>
      <c r="E45" s="11"/>
      <c r="F45" s="11"/>
    </row>
    <row r="46" customFormat="false" ht="15" hidden="false" customHeight="false" outlineLevel="0" collapsed="false">
      <c r="A46" s="10" t="s">
        <v>27</v>
      </c>
      <c r="B46" s="11" t="s">
        <v>50</v>
      </c>
      <c r="C46" s="11"/>
      <c r="D46" s="11"/>
      <c r="E46" s="11"/>
      <c r="F46" s="11"/>
    </row>
    <row r="47" customFormat="false" ht="15" hidden="false" customHeight="false" outlineLevel="0" collapsed="false">
      <c r="A47" s="10" t="s">
        <v>28</v>
      </c>
      <c r="B47" s="11" t="s">
        <v>51</v>
      </c>
      <c r="C47" s="11"/>
      <c r="D47" s="11"/>
      <c r="E47" s="11"/>
      <c r="F47" s="11"/>
    </row>
    <row r="48" customFormat="false" ht="15" hidden="false" customHeight="false" outlineLevel="0" collapsed="false">
      <c r="A48" s="10" t="s">
        <v>52</v>
      </c>
      <c r="B48" s="11" t="s">
        <v>53</v>
      </c>
      <c r="C48" s="11"/>
      <c r="D48" s="11"/>
      <c r="E48" s="11"/>
      <c r="F48" s="11"/>
    </row>
    <row r="49" customFormat="false" ht="15" hidden="false" customHeight="false" outlineLevel="0" collapsed="false">
      <c r="A49" s="10" t="s">
        <v>54</v>
      </c>
      <c r="B49" s="11" t="s">
        <v>55</v>
      </c>
      <c r="C49" s="11"/>
      <c r="D49" s="11"/>
      <c r="E49" s="11"/>
      <c r="F49" s="11"/>
    </row>
    <row r="50" customFormat="false" ht="15" hidden="false" customHeight="false" outlineLevel="0" collapsed="false">
      <c r="A50" s="10" t="s">
        <v>56</v>
      </c>
      <c r="B50" s="11" t="s">
        <v>57</v>
      </c>
      <c r="C50" s="11"/>
      <c r="D50" s="11"/>
      <c r="E50" s="11"/>
      <c r="F50" s="11"/>
    </row>
    <row r="51" customFormat="false" ht="15" hidden="false" customHeight="false" outlineLevel="0" collapsed="false">
      <c r="A51" s="10" t="s">
        <v>58</v>
      </c>
      <c r="B51" s="11" t="s">
        <v>59</v>
      </c>
      <c r="C51" s="11"/>
      <c r="D51" s="11"/>
      <c r="E51" s="11"/>
      <c r="F51" s="11"/>
    </row>
    <row r="52" customFormat="false" ht="15" hidden="false" customHeight="false" outlineLevel="0" collapsed="false">
      <c r="A52" s="10" t="s">
        <v>60</v>
      </c>
      <c r="B52" s="11" t="s">
        <v>61</v>
      </c>
      <c r="C52" s="11"/>
      <c r="D52" s="11"/>
      <c r="E52" s="11"/>
      <c r="F52" s="11"/>
    </row>
  </sheetData>
  <mergeCells count="27">
    <mergeCell ref="B3:F3"/>
    <mergeCell ref="B5:F5"/>
    <mergeCell ref="B6:F6"/>
    <mergeCell ref="B7:F7"/>
    <mergeCell ref="B10:F10"/>
    <mergeCell ref="B11:F11"/>
    <mergeCell ref="B12:F12"/>
    <mergeCell ref="B13:F13"/>
    <mergeCell ref="B34:F34"/>
    <mergeCell ref="B35:F35"/>
    <mergeCell ref="B36:F36"/>
    <mergeCell ref="B37:F37"/>
    <mergeCell ref="B38:F38"/>
    <mergeCell ref="B39:F39"/>
    <mergeCell ref="B40:F40"/>
    <mergeCell ref="B41:F41"/>
    <mergeCell ref="B42:F42"/>
    <mergeCell ref="B43:F43"/>
    <mergeCell ref="B44:F44"/>
    <mergeCell ref="B45:F45"/>
    <mergeCell ref="B46:F46"/>
    <mergeCell ref="B47:F47"/>
    <mergeCell ref="B48:F48"/>
    <mergeCell ref="B49:F49"/>
    <mergeCell ref="B50:F50"/>
    <mergeCell ref="B51:F51"/>
    <mergeCell ref="B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52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8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74</v>
      </c>
      <c r="B2" s="13" t="s">
        <v>75</v>
      </c>
      <c r="C2" s="13" t="s">
        <v>76</v>
      </c>
      <c r="D2" s="13" t="s">
        <v>77</v>
      </c>
      <c r="E2" s="13" t="s">
        <v>78</v>
      </c>
      <c r="F2" s="14" t="s">
        <v>79</v>
      </c>
      <c r="G2" s="15" t="n">
        <v>46295</v>
      </c>
      <c r="H2" s="13" t="s">
        <v>80</v>
      </c>
      <c r="I2" s="13" t="s">
        <v>81</v>
      </c>
      <c r="J2" s="16" t="s">
        <v>11</v>
      </c>
      <c r="K2" s="15" t="n">
        <v>46295</v>
      </c>
      <c r="L2" s="13" t="s">
        <v>82</v>
      </c>
    </row>
    <row r="3" customFormat="false" ht="23.85" hidden="false" customHeight="false" outlineLevel="0" collapsed="false">
      <c r="A3" s="13" t="s">
        <v>74</v>
      </c>
      <c r="B3" s="13" t="s">
        <v>83</v>
      </c>
      <c r="C3" s="13" t="s">
        <v>84</v>
      </c>
      <c r="D3" s="13" t="s">
        <v>77</v>
      </c>
      <c r="E3" s="13" t="s">
        <v>78</v>
      </c>
      <c r="F3" s="14" t="s">
        <v>79</v>
      </c>
      <c r="G3" s="15" t="n">
        <v>46295</v>
      </c>
      <c r="H3" s="13" t="s">
        <v>80</v>
      </c>
      <c r="I3" s="13" t="s">
        <v>81</v>
      </c>
      <c r="J3" s="16" t="s">
        <v>11</v>
      </c>
      <c r="K3" s="15" t="n">
        <v>46295</v>
      </c>
      <c r="L3" s="13"/>
    </row>
    <row r="4" customFormat="false" ht="23.85" hidden="false" customHeight="false" outlineLevel="0" collapsed="false">
      <c r="A4" s="13" t="s">
        <v>74</v>
      </c>
      <c r="B4" s="13" t="s">
        <v>85</v>
      </c>
      <c r="C4" s="13" t="s">
        <v>86</v>
      </c>
      <c r="D4" s="13" t="s">
        <v>77</v>
      </c>
      <c r="E4" s="13" t="s">
        <v>78</v>
      </c>
      <c r="F4" s="14" t="s">
        <v>79</v>
      </c>
      <c r="G4" s="15" t="n">
        <v>46295</v>
      </c>
      <c r="H4" s="13" t="s">
        <v>80</v>
      </c>
      <c r="I4" s="13" t="s">
        <v>81</v>
      </c>
      <c r="J4" s="16" t="s">
        <v>11</v>
      </c>
      <c r="K4" s="15" t="n">
        <v>46295</v>
      </c>
      <c r="L4" s="13"/>
    </row>
    <row r="5" customFormat="false" ht="23.85" hidden="false" customHeight="false" outlineLevel="0" collapsed="false">
      <c r="A5" s="13" t="s">
        <v>74</v>
      </c>
      <c r="B5" s="13" t="s">
        <v>87</v>
      </c>
      <c r="C5" s="13" t="s">
        <v>88</v>
      </c>
      <c r="D5" s="13" t="s">
        <v>89</v>
      </c>
      <c r="E5" s="13" t="s">
        <v>90</v>
      </c>
      <c r="F5" s="14" t="s">
        <v>91</v>
      </c>
      <c r="G5" s="15" t="n">
        <v>46295</v>
      </c>
      <c r="H5" s="13" t="s">
        <v>80</v>
      </c>
      <c r="I5" s="13" t="s">
        <v>81</v>
      </c>
      <c r="J5" s="16" t="s">
        <v>11</v>
      </c>
      <c r="K5" s="15" t="n">
        <v>46295</v>
      </c>
      <c r="L5" s="13" t="s">
        <v>92</v>
      </c>
    </row>
    <row r="6" customFormat="false" ht="23.85" hidden="false" customHeight="false" outlineLevel="0" collapsed="false">
      <c r="A6" s="13" t="s">
        <v>74</v>
      </c>
      <c r="B6" s="13" t="s">
        <v>93</v>
      </c>
      <c r="C6" s="13" t="s">
        <v>94</v>
      </c>
      <c r="D6" s="13" t="s">
        <v>95</v>
      </c>
      <c r="E6" s="13" t="s">
        <v>96</v>
      </c>
      <c r="F6" s="14" t="s">
        <v>97</v>
      </c>
      <c r="G6" s="15" t="n">
        <v>46295</v>
      </c>
      <c r="H6" s="13" t="s">
        <v>80</v>
      </c>
      <c r="I6" s="13" t="s">
        <v>98</v>
      </c>
      <c r="J6" s="17" t="s">
        <v>13</v>
      </c>
      <c r="K6" s="15" t="n">
        <v>46295</v>
      </c>
      <c r="L6" s="13" t="s">
        <v>99</v>
      </c>
    </row>
    <row r="7" customFormat="false" ht="35.05" hidden="false" customHeight="false" outlineLevel="0" collapsed="false">
      <c r="A7" s="13" t="s">
        <v>74</v>
      </c>
      <c r="B7" s="13" t="s">
        <v>100</v>
      </c>
      <c r="C7" s="13" t="s">
        <v>101</v>
      </c>
      <c r="D7" s="13" t="s">
        <v>102</v>
      </c>
      <c r="E7" s="13" t="s">
        <v>103</v>
      </c>
      <c r="F7" s="14" t="s">
        <v>104</v>
      </c>
      <c r="G7" s="15" t="n">
        <v>46295</v>
      </c>
      <c r="H7" s="13" t="s">
        <v>80</v>
      </c>
      <c r="I7" s="13" t="s">
        <v>105</v>
      </c>
      <c r="J7" s="16" t="s">
        <v>11</v>
      </c>
      <c r="K7" s="15" t="n">
        <v>46295</v>
      </c>
      <c r="L7" s="13" t="s">
        <v>106</v>
      </c>
    </row>
    <row r="8" customFormat="false" ht="23.85" hidden="false" customHeight="false" outlineLevel="0" collapsed="false">
      <c r="A8" s="13" t="s">
        <v>107</v>
      </c>
      <c r="B8" s="13" t="s">
        <v>108</v>
      </c>
      <c r="C8" s="13" t="s">
        <v>109</v>
      </c>
      <c r="D8" s="13" t="s">
        <v>110</v>
      </c>
      <c r="E8" s="13" t="s">
        <v>78</v>
      </c>
      <c r="F8" s="14" t="s">
        <v>79</v>
      </c>
      <c r="G8" s="15" t="n">
        <v>46295</v>
      </c>
      <c r="H8" s="13" t="s">
        <v>80</v>
      </c>
      <c r="I8" s="13" t="s">
        <v>81</v>
      </c>
      <c r="J8" s="16" t="s">
        <v>11</v>
      </c>
      <c r="K8" s="15" t="n">
        <v>46295</v>
      </c>
      <c r="L8" s="13" t="s">
        <v>111</v>
      </c>
    </row>
    <row r="9" customFormat="false" ht="23.85" hidden="false" customHeight="false" outlineLevel="0" collapsed="false">
      <c r="A9" s="13" t="s">
        <v>107</v>
      </c>
      <c r="B9" s="13" t="s">
        <v>112</v>
      </c>
      <c r="C9" s="13" t="s">
        <v>113</v>
      </c>
      <c r="D9" s="13" t="s">
        <v>114</v>
      </c>
      <c r="E9" s="13" t="s">
        <v>78</v>
      </c>
      <c r="F9" s="14" t="s">
        <v>79</v>
      </c>
      <c r="G9" s="15" t="n">
        <v>46295</v>
      </c>
      <c r="H9" s="13" t="s">
        <v>80</v>
      </c>
      <c r="I9" s="13" t="s">
        <v>81</v>
      </c>
      <c r="J9" s="16" t="s">
        <v>11</v>
      </c>
      <c r="K9" s="15" t="n">
        <v>46295</v>
      </c>
      <c r="L9" s="13" t="s">
        <v>115</v>
      </c>
    </row>
    <row r="10" customFormat="false" ht="23.85" hidden="false" customHeight="false" outlineLevel="0" collapsed="false">
      <c r="A10" s="13" t="s">
        <v>107</v>
      </c>
      <c r="B10" s="13" t="s">
        <v>116</v>
      </c>
      <c r="C10" s="13" t="s">
        <v>117</v>
      </c>
      <c r="D10" s="13" t="s">
        <v>114</v>
      </c>
      <c r="E10" s="13" t="s">
        <v>78</v>
      </c>
      <c r="F10" s="14" t="s">
        <v>79</v>
      </c>
      <c r="G10" s="15" t="n">
        <v>46295</v>
      </c>
      <c r="H10" s="13" t="s">
        <v>80</v>
      </c>
      <c r="I10" s="13" t="s">
        <v>81</v>
      </c>
      <c r="J10" s="16" t="s">
        <v>11</v>
      </c>
      <c r="K10" s="15" t="n">
        <v>46295</v>
      </c>
      <c r="L10" s="13" t="s">
        <v>118</v>
      </c>
    </row>
    <row r="11" customFormat="false" ht="23.85" hidden="false" customHeight="false" outlineLevel="0" collapsed="false">
      <c r="A11" s="13" t="s">
        <v>107</v>
      </c>
      <c r="B11" s="13" t="s">
        <v>119</v>
      </c>
      <c r="C11" s="13" t="s">
        <v>120</v>
      </c>
      <c r="D11" s="13" t="s">
        <v>121</v>
      </c>
      <c r="E11" s="13" t="s">
        <v>78</v>
      </c>
      <c r="F11" s="14" t="s">
        <v>79</v>
      </c>
      <c r="G11" s="15" t="n">
        <v>46295</v>
      </c>
      <c r="H11" s="13" t="s">
        <v>80</v>
      </c>
      <c r="I11" s="13" t="s">
        <v>81</v>
      </c>
      <c r="J11" s="16" t="s">
        <v>11</v>
      </c>
      <c r="K11" s="15" t="n">
        <v>46295</v>
      </c>
      <c r="L11" s="13"/>
    </row>
    <row r="12" customFormat="false" ht="23.85" hidden="false" customHeight="false" outlineLevel="0" collapsed="false">
      <c r="A12" s="13" t="s">
        <v>122</v>
      </c>
      <c r="B12" s="13" t="s">
        <v>123</v>
      </c>
      <c r="C12" s="13" t="s">
        <v>124</v>
      </c>
      <c r="D12" s="13" t="s">
        <v>125</v>
      </c>
      <c r="E12" s="13" t="s">
        <v>126</v>
      </c>
      <c r="F12" s="14" t="s">
        <v>127</v>
      </c>
      <c r="G12" s="15" t="n">
        <v>46295</v>
      </c>
      <c r="H12" s="13" t="s">
        <v>80</v>
      </c>
      <c r="I12" s="13" t="s">
        <v>81</v>
      </c>
      <c r="J12" s="16" t="s">
        <v>11</v>
      </c>
      <c r="K12" s="15" t="n">
        <v>46295</v>
      </c>
      <c r="L12" s="13"/>
    </row>
    <row r="13" customFormat="false" ht="23.85" hidden="false" customHeight="false" outlineLevel="0" collapsed="false">
      <c r="A13" s="13" t="s">
        <v>122</v>
      </c>
      <c r="B13" s="13" t="s">
        <v>128</v>
      </c>
      <c r="C13" s="13" t="s">
        <v>129</v>
      </c>
      <c r="D13" s="13" t="s">
        <v>125</v>
      </c>
      <c r="E13" s="13" t="s">
        <v>126</v>
      </c>
      <c r="F13" s="14" t="s">
        <v>127</v>
      </c>
      <c r="G13" s="15" t="n">
        <v>46295</v>
      </c>
      <c r="H13" s="13" t="s">
        <v>80</v>
      </c>
      <c r="I13" s="13" t="s">
        <v>81</v>
      </c>
      <c r="J13" s="16" t="s">
        <v>11</v>
      </c>
      <c r="K13" s="15" t="n">
        <v>46295</v>
      </c>
      <c r="L13" s="13"/>
    </row>
    <row r="14" customFormat="false" ht="23.85" hidden="false" customHeight="false" outlineLevel="0" collapsed="false">
      <c r="A14" s="13" t="s">
        <v>122</v>
      </c>
      <c r="B14" s="13" t="s">
        <v>130</v>
      </c>
      <c r="C14" s="13" t="s">
        <v>131</v>
      </c>
      <c r="D14" s="13" t="s">
        <v>125</v>
      </c>
      <c r="E14" s="13" t="s">
        <v>126</v>
      </c>
      <c r="F14" s="14" t="s">
        <v>127</v>
      </c>
      <c r="G14" s="15" t="n">
        <v>46295</v>
      </c>
      <c r="H14" s="13" t="s">
        <v>80</v>
      </c>
      <c r="I14" s="13" t="s">
        <v>81</v>
      </c>
      <c r="J14" s="16" t="s">
        <v>11</v>
      </c>
      <c r="K14" s="15" t="n">
        <v>46295</v>
      </c>
      <c r="L14" s="13"/>
    </row>
    <row r="15" customFormat="false" ht="23.85" hidden="false" customHeight="false" outlineLevel="0" collapsed="false">
      <c r="A15" s="13" t="s">
        <v>132</v>
      </c>
      <c r="B15" s="13" t="s">
        <v>133</v>
      </c>
      <c r="C15" s="13" t="s">
        <v>134</v>
      </c>
      <c r="D15" s="13" t="s">
        <v>125</v>
      </c>
      <c r="E15" s="13" t="s">
        <v>126</v>
      </c>
      <c r="F15" s="14" t="s">
        <v>127</v>
      </c>
      <c r="G15" s="15" t="n">
        <v>46295</v>
      </c>
      <c r="H15" s="13" t="s">
        <v>80</v>
      </c>
      <c r="I15" s="13" t="s">
        <v>81</v>
      </c>
      <c r="J15" s="16" t="s">
        <v>11</v>
      </c>
      <c r="K15" s="15" t="n">
        <v>46295</v>
      </c>
      <c r="L15" s="13"/>
    </row>
    <row r="16" customFormat="false" ht="23.85" hidden="false" customHeight="false" outlineLevel="0" collapsed="false">
      <c r="A16" s="13" t="s">
        <v>132</v>
      </c>
      <c r="B16" s="13" t="s">
        <v>135</v>
      </c>
      <c r="C16" s="13" t="s">
        <v>136</v>
      </c>
      <c r="D16" s="13" t="s">
        <v>125</v>
      </c>
      <c r="E16" s="13" t="s">
        <v>126</v>
      </c>
      <c r="F16" s="14" t="s">
        <v>127</v>
      </c>
      <c r="G16" s="15" t="n">
        <v>46295</v>
      </c>
      <c r="H16" s="13" t="s">
        <v>80</v>
      </c>
      <c r="I16" s="13" t="s">
        <v>81</v>
      </c>
      <c r="J16" s="16" t="s">
        <v>11</v>
      </c>
      <c r="K16" s="15" t="n">
        <v>46295</v>
      </c>
      <c r="L16" s="13"/>
    </row>
    <row r="17" customFormat="false" ht="23.85" hidden="false" customHeight="false" outlineLevel="0" collapsed="false">
      <c r="A17" s="13" t="s">
        <v>132</v>
      </c>
      <c r="B17" s="13" t="s">
        <v>137</v>
      </c>
      <c r="C17" s="13" t="s">
        <v>138</v>
      </c>
      <c r="D17" s="13" t="s">
        <v>125</v>
      </c>
      <c r="E17" s="13" t="s">
        <v>126</v>
      </c>
      <c r="F17" s="14" t="s">
        <v>127</v>
      </c>
      <c r="G17" s="15" t="n">
        <v>46295</v>
      </c>
      <c r="H17" s="13" t="s">
        <v>80</v>
      </c>
      <c r="I17" s="13" t="s">
        <v>81</v>
      </c>
      <c r="J17" s="16" t="s">
        <v>11</v>
      </c>
      <c r="K17" s="15" t="n">
        <v>46295</v>
      </c>
      <c r="L17" s="13"/>
    </row>
    <row r="18" customFormat="false" ht="23.85" hidden="false" customHeight="false" outlineLevel="0" collapsed="false">
      <c r="A18" s="13" t="s">
        <v>139</v>
      </c>
      <c r="B18" s="13" t="s">
        <v>140</v>
      </c>
      <c r="C18" s="13" t="s">
        <v>141</v>
      </c>
      <c r="D18" s="13" t="s">
        <v>142</v>
      </c>
      <c r="E18" s="13" t="s">
        <v>143</v>
      </c>
      <c r="F18" s="14" t="s">
        <v>144</v>
      </c>
      <c r="G18" s="15" t="n">
        <v>46295</v>
      </c>
      <c r="H18" s="13" t="s">
        <v>80</v>
      </c>
      <c r="I18" s="13" t="s">
        <v>105</v>
      </c>
      <c r="J18" s="16" t="s">
        <v>11</v>
      </c>
      <c r="K18" s="15" t="n">
        <v>46295</v>
      </c>
      <c r="L18" s="13" t="s">
        <v>145</v>
      </c>
    </row>
    <row r="19" customFormat="false" ht="57.45" hidden="false" customHeight="false" outlineLevel="0" collapsed="false">
      <c r="A19" s="13" t="s">
        <v>139</v>
      </c>
      <c r="B19" s="13" t="s">
        <v>146</v>
      </c>
      <c r="C19" s="13" t="s">
        <v>147</v>
      </c>
      <c r="D19" s="13" t="s">
        <v>148</v>
      </c>
      <c r="E19" s="13" t="s">
        <v>143</v>
      </c>
      <c r="F19" s="14" t="s">
        <v>144</v>
      </c>
      <c r="G19" s="15" t="n">
        <v>46295</v>
      </c>
      <c r="H19" s="13" t="s">
        <v>80</v>
      </c>
      <c r="I19" s="13" t="s">
        <v>105</v>
      </c>
      <c r="J19" s="16" t="s">
        <v>11</v>
      </c>
      <c r="K19" s="15" t="n">
        <v>46295</v>
      </c>
      <c r="L19" s="13" t="s">
        <v>149</v>
      </c>
    </row>
    <row r="20" customFormat="false" ht="35.05" hidden="false" customHeight="false" outlineLevel="0" collapsed="false">
      <c r="A20" s="13" t="s">
        <v>139</v>
      </c>
      <c r="B20" s="13" t="s">
        <v>150</v>
      </c>
      <c r="C20" s="13" t="s">
        <v>151</v>
      </c>
      <c r="D20" s="13" t="s">
        <v>152</v>
      </c>
      <c r="E20" s="13" t="s">
        <v>143</v>
      </c>
      <c r="F20" s="14" t="s">
        <v>144</v>
      </c>
      <c r="G20" s="15" t="n">
        <v>46295</v>
      </c>
      <c r="H20" s="13" t="s">
        <v>80</v>
      </c>
      <c r="I20" s="13" t="s">
        <v>105</v>
      </c>
      <c r="J20" s="16" t="s">
        <v>11</v>
      </c>
      <c r="K20" s="15" t="n">
        <v>46295</v>
      </c>
      <c r="L20" s="13"/>
    </row>
    <row r="21" customFormat="false" ht="23.85" hidden="false" customHeight="false" outlineLevel="0" collapsed="false">
      <c r="A21" s="13" t="s">
        <v>139</v>
      </c>
      <c r="B21" s="13" t="s">
        <v>153</v>
      </c>
      <c r="C21" s="13" t="s">
        <v>154</v>
      </c>
      <c r="D21" s="13" t="s">
        <v>155</v>
      </c>
      <c r="E21" s="13" t="s">
        <v>143</v>
      </c>
      <c r="F21" s="14" t="s">
        <v>144</v>
      </c>
      <c r="G21" s="15" t="n">
        <v>46295</v>
      </c>
      <c r="H21" s="13" t="s">
        <v>80</v>
      </c>
      <c r="I21" s="13" t="s">
        <v>105</v>
      </c>
      <c r="J21" s="16" t="s">
        <v>11</v>
      </c>
      <c r="K21" s="15" t="n">
        <v>46295</v>
      </c>
      <c r="L21" s="13" t="s">
        <v>156</v>
      </c>
    </row>
    <row r="22" customFormat="false" ht="35.05" hidden="false" customHeight="false" outlineLevel="0" collapsed="false">
      <c r="A22" s="13" t="s">
        <v>139</v>
      </c>
      <c r="B22" s="13" t="s">
        <v>157</v>
      </c>
      <c r="C22" s="13" t="s">
        <v>158</v>
      </c>
      <c r="D22" s="13" t="s">
        <v>159</v>
      </c>
      <c r="E22" s="13" t="s">
        <v>143</v>
      </c>
      <c r="F22" s="14" t="s">
        <v>144</v>
      </c>
      <c r="G22" s="15" t="n">
        <v>46295</v>
      </c>
      <c r="H22" s="13" t="s">
        <v>80</v>
      </c>
      <c r="I22" s="13" t="s">
        <v>105</v>
      </c>
      <c r="J22" s="16" t="s">
        <v>11</v>
      </c>
      <c r="K22" s="15" t="n">
        <v>46295</v>
      </c>
      <c r="L22" s="13"/>
    </row>
    <row r="23" customFormat="false" ht="35.05" hidden="false" customHeight="false" outlineLevel="0" collapsed="false">
      <c r="A23" s="13" t="s">
        <v>160</v>
      </c>
      <c r="B23" s="13" t="s">
        <v>161</v>
      </c>
      <c r="C23" s="13" t="s">
        <v>162</v>
      </c>
      <c r="D23" s="13" t="s">
        <v>163</v>
      </c>
      <c r="E23" s="13" t="s">
        <v>143</v>
      </c>
      <c r="F23" s="14" t="s">
        <v>144</v>
      </c>
      <c r="G23" s="15" t="n">
        <v>46295</v>
      </c>
      <c r="H23" s="13" t="s">
        <v>80</v>
      </c>
      <c r="I23" s="13" t="s">
        <v>105</v>
      </c>
      <c r="J23" s="16" t="s">
        <v>11</v>
      </c>
      <c r="K23" s="15" t="n">
        <v>46295</v>
      </c>
      <c r="L23" s="13"/>
    </row>
    <row r="24" customFormat="false" ht="35.05" hidden="false" customHeight="false" outlineLevel="0" collapsed="false">
      <c r="A24" s="13" t="s">
        <v>160</v>
      </c>
      <c r="B24" s="13" t="s">
        <v>164</v>
      </c>
      <c r="C24" s="13" t="s">
        <v>165</v>
      </c>
      <c r="D24" s="13" t="s">
        <v>166</v>
      </c>
      <c r="E24" s="13" t="s">
        <v>143</v>
      </c>
      <c r="F24" s="14" t="s">
        <v>144</v>
      </c>
      <c r="G24" s="15" t="n">
        <v>46295</v>
      </c>
      <c r="H24" s="13" t="s">
        <v>80</v>
      </c>
      <c r="I24" s="13" t="s">
        <v>105</v>
      </c>
      <c r="J24" s="16" t="s">
        <v>11</v>
      </c>
      <c r="K24" s="15" t="n">
        <v>46295</v>
      </c>
      <c r="L24" s="13" t="s">
        <v>167</v>
      </c>
    </row>
    <row r="25" customFormat="false" ht="23.85" hidden="false" customHeight="false" outlineLevel="0" collapsed="false">
      <c r="A25" s="13" t="s">
        <v>24</v>
      </c>
      <c r="B25" s="13" t="s">
        <v>168</v>
      </c>
      <c r="C25" s="13" t="s">
        <v>169</v>
      </c>
      <c r="D25" s="13" t="s">
        <v>170</v>
      </c>
      <c r="E25" s="13" t="s">
        <v>171</v>
      </c>
      <c r="F25" s="14" t="s">
        <v>172</v>
      </c>
      <c r="G25" s="15" t="n">
        <v>46295</v>
      </c>
      <c r="H25" s="13" t="s">
        <v>80</v>
      </c>
      <c r="I25" s="13" t="s">
        <v>105</v>
      </c>
      <c r="J25" s="16" t="s">
        <v>11</v>
      </c>
      <c r="K25" s="15" t="n">
        <v>46295</v>
      </c>
      <c r="L25" s="13" t="s">
        <v>173</v>
      </c>
    </row>
    <row r="26" customFormat="false" ht="68.65" hidden="false" customHeight="false" outlineLevel="0" collapsed="false">
      <c r="A26" s="13" t="s">
        <v>24</v>
      </c>
      <c r="B26" s="13" t="s">
        <v>174</v>
      </c>
      <c r="C26" s="13" t="s">
        <v>175</v>
      </c>
      <c r="D26" s="13" t="s">
        <v>176</v>
      </c>
      <c r="E26" s="13" t="s">
        <v>177</v>
      </c>
      <c r="F26" s="14" t="s">
        <v>178</v>
      </c>
      <c r="G26" s="15" t="n">
        <v>46295</v>
      </c>
      <c r="H26" s="13" t="s">
        <v>80</v>
      </c>
      <c r="I26" s="13" t="s">
        <v>105</v>
      </c>
      <c r="J26" s="16" t="s">
        <v>11</v>
      </c>
      <c r="K26" s="15" t="n">
        <v>46295</v>
      </c>
      <c r="L26" s="13" t="s">
        <v>179</v>
      </c>
    </row>
    <row r="27" customFormat="false" ht="23.85" hidden="false" customHeight="false" outlineLevel="0" collapsed="false">
      <c r="A27" s="13" t="s">
        <v>24</v>
      </c>
      <c r="B27" s="13" t="s">
        <v>180</v>
      </c>
      <c r="C27" s="13" t="s">
        <v>181</v>
      </c>
      <c r="D27" s="13" t="s">
        <v>182</v>
      </c>
      <c r="E27" s="13" t="s">
        <v>183</v>
      </c>
      <c r="F27" s="14" t="s">
        <v>184</v>
      </c>
      <c r="G27" s="15" t="n">
        <v>46295</v>
      </c>
      <c r="H27" s="13" t="s">
        <v>80</v>
      </c>
      <c r="I27" s="13" t="s">
        <v>81</v>
      </c>
      <c r="J27" s="16" t="s">
        <v>11</v>
      </c>
      <c r="K27" s="15" t="n">
        <v>46295</v>
      </c>
      <c r="L27" s="13" t="s">
        <v>185</v>
      </c>
    </row>
    <row r="28" customFormat="false" ht="23.85" hidden="false" customHeight="false" outlineLevel="0" collapsed="false">
      <c r="A28" s="13" t="s">
        <v>24</v>
      </c>
      <c r="B28" s="13" t="s">
        <v>186</v>
      </c>
      <c r="C28" s="13" t="s">
        <v>187</v>
      </c>
      <c r="D28" s="13" t="s">
        <v>188</v>
      </c>
      <c r="E28" s="13" t="s">
        <v>189</v>
      </c>
      <c r="F28" s="14" t="s">
        <v>190</v>
      </c>
      <c r="G28" s="15" t="n">
        <v>46295</v>
      </c>
      <c r="H28" s="13" t="s">
        <v>80</v>
      </c>
      <c r="I28" s="13" t="s">
        <v>105</v>
      </c>
      <c r="J28" s="16" t="s">
        <v>11</v>
      </c>
      <c r="K28" s="15" t="n">
        <v>46295</v>
      </c>
      <c r="L28" s="13" t="s">
        <v>191</v>
      </c>
    </row>
    <row r="29" customFormat="false" ht="23.85" hidden="false" customHeight="false" outlineLevel="0" collapsed="false">
      <c r="A29" s="13" t="s">
        <v>192</v>
      </c>
      <c r="B29" s="13" t="s">
        <v>193</v>
      </c>
      <c r="C29" s="13" t="s">
        <v>194</v>
      </c>
      <c r="D29" s="13" t="s">
        <v>125</v>
      </c>
      <c r="E29" s="13" t="s">
        <v>126</v>
      </c>
      <c r="F29" s="14" t="s">
        <v>127</v>
      </c>
      <c r="G29" s="15" t="n">
        <v>46295</v>
      </c>
      <c r="H29" s="13" t="s">
        <v>80</v>
      </c>
      <c r="I29" s="13" t="s">
        <v>81</v>
      </c>
      <c r="J29" s="16" t="s">
        <v>11</v>
      </c>
      <c r="K29" s="15" t="n">
        <v>46295</v>
      </c>
      <c r="L29" s="13" t="s">
        <v>195</v>
      </c>
    </row>
    <row r="30" customFormat="false" ht="23.85" hidden="false" customHeight="false" outlineLevel="0" collapsed="false">
      <c r="A30" s="13" t="s">
        <v>192</v>
      </c>
      <c r="B30" s="13" t="s">
        <v>196</v>
      </c>
      <c r="C30" s="13" t="s">
        <v>197</v>
      </c>
      <c r="D30" s="13" t="s">
        <v>125</v>
      </c>
      <c r="E30" s="13" t="s">
        <v>126</v>
      </c>
      <c r="F30" s="14" t="s">
        <v>127</v>
      </c>
      <c r="G30" s="15" t="n">
        <v>46295</v>
      </c>
      <c r="H30" s="13" t="s">
        <v>80</v>
      </c>
      <c r="I30" s="13" t="s">
        <v>81</v>
      </c>
      <c r="J30" s="16" t="s">
        <v>11</v>
      </c>
      <c r="K30" s="15" t="n">
        <v>46295</v>
      </c>
      <c r="L30" s="13"/>
    </row>
    <row r="31" customFormat="false" ht="23.85" hidden="false" customHeight="false" outlineLevel="0" collapsed="false">
      <c r="A31" s="13" t="s">
        <v>198</v>
      </c>
      <c r="B31" s="13" t="s">
        <v>199</v>
      </c>
      <c r="C31" s="13" t="s">
        <v>200</v>
      </c>
      <c r="D31" s="13" t="s">
        <v>125</v>
      </c>
      <c r="E31" s="13" t="s">
        <v>126</v>
      </c>
      <c r="F31" s="14" t="s">
        <v>127</v>
      </c>
      <c r="G31" s="15" t="n">
        <v>46295</v>
      </c>
      <c r="H31" s="13" t="s">
        <v>80</v>
      </c>
      <c r="I31" s="13" t="s">
        <v>81</v>
      </c>
      <c r="J31" s="16" t="s">
        <v>11</v>
      </c>
      <c r="K31" s="15" t="n">
        <v>46295</v>
      </c>
      <c r="L31" s="13" t="s">
        <v>201</v>
      </c>
    </row>
    <row r="32" customFormat="false" ht="23.85" hidden="false" customHeight="false" outlineLevel="0" collapsed="false">
      <c r="A32" s="13" t="s">
        <v>202</v>
      </c>
      <c r="B32" s="13" t="s">
        <v>203</v>
      </c>
      <c r="C32" s="13" t="s">
        <v>204</v>
      </c>
      <c r="D32" s="13" t="s">
        <v>125</v>
      </c>
      <c r="E32" s="13" t="s">
        <v>126</v>
      </c>
      <c r="F32" s="14" t="s">
        <v>127</v>
      </c>
      <c r="G32" s="15" t="n">
        <v>46295</v>
      </c>
      <c r="H32" s="13" t="s">
        <v>80</v>
      </c>
      <c r="I32" s="13" t="s">
        <v>81</v>
      </c>
      <c r="J32" s="16" t="s">
        <v>11</v>
      </c>
      <c r="K32" s="15" t="n">
        <v>46295</v>
      </c>
      <c r="L32" s="13" t="s">
        <v>205</v>
      </c>
    </row>
  </sheetData>
  <autoFilter ref="A1:L32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www.dmv.ca.gov/portal/vehicle-registration/insurance-requirements/"/>
    <hyperlink ref="F3" r:id="rId2" display="https://www.dmv.ca.gov/portal/vehicle-registration/insurance-requirements/"/>
    <hyperlink ref="F4" r:id="rId3" display="https://www.dmv.ca.gov/portal/vehicle-registration/insurance-requirements/"/>
    <hyperlink ref="F5" r:id="rId4" display="https://www.insurance.ca.gov/0400-news/0102-alerts/2024/California-s-Low-Cost-Auto-Insurance.cfm"/>
    <hyperlink ref="F6" r:id="rId5" display="https://www.carinsurance.com/Articles/minimum-liability-car-insurance-requirements-by-state.aspx"/>
    <hyperlink ref="F7" r:id="rId6" display="https://leginfo.legislature.ca.gov/faces/billNavClient.xhtml?bill_id=202120220SB1107"/>
    <hyperlink ref="F8" r:id="rId7" display="https://www.dmv.ca.gov/portal/vehicle-registration/insurance-requirements/"/>
    <hyperlink ref="F9" r:id="rId8" display="https://www.dmv.ca.gov/portal/vehicle-registration/insurance-requirements/"/>
    <hyperlink ref="F10" r:id="rId9" display="https://www.dmv.ca.gov/portal/vehicle-registration/insurance-requirements/"/>
    <hyperlink ref="F11" r:id="rId10" display="https://www.dmv.ca.gov/portal/vehicle-registration/insurance-requirements/"/>
    <hyperlink ref="F12" r:id="rId11" display="https://www.insurance.ca.gov/01-consumers/105-type/95-guides/01-auto/auto101.cfm"/>
    <hyperlink ref="F13" r:id="rId12" display="https://www.insurance.ca.gov/01-consumers/105-type/95-guides/01-auto/auto101.cfm"/>
    <hyperlink ref="F14" r:id="rId13" display="https://www.insurance.ca.gov/01-consumers/105-type/95-guides/01-auto/auto101.cfm"/>
    <hyperlink ref="F15" r:id="rId14" display="https://www.insurance.ca.gov/01-consumers/105-type/95-guides/01-auto/auto101.cfm"/>
    <hyperlink ref="F16" r:id="rId15" display="https://www.insurance.ca.gov/01-consumers/105-type/95-guides/01-auto/auto101.cfm"/>
    <hyperlink ref="F17" r:id="rId16" display="https://www.insurance.ca.gov/01-consumers/105-type/95-guides/01-auto/auto101.cfm"/>
    <hyperlink ref="F18" r:id="rId17" display="https://www.law.cornell.edu/regulations/california/10-CCR-2632.5"/>
    <hyperlink ref="F19" r:id="rId18" display="https://www.law.cornell.edu/regulations/california/10-CCR-2632.5"/>
    <hyperlink ref="F20" r:id="rId19" display="https://www.law.cornell.edu/regulations/california/10-CCR-2632.5"/>
    <hyperlink ref="F21" r:id="rId20" display="https://www.law.cornell.edu/regulations/california/10-CCR-2632.5"/>
    <hyperlink ref="F22" r:id="rId21" display="https://www.law.cornell.edu/regulations/california/10-CCR-2632.5"/>
    <hyperlink ref="F23" r:id="rId22" display="https://www.law.cornell.edu/regulations/california/10-CCR-2632.5"/>
    <hyperlink ref="F24" r:id="rId23" display="https://www.law.cornell.edu/regulations/california/10-CCR-2632.5"/>
    <hyperlink ref="F25" r:id="rId24" display="https://www.law.cornell.edu/regulations/california/10-CCR-2632.12"/>
    <hyperlink ref="F26" r:id="rId25" display="https://law.justia.com/codes/california/code-ins/division-1/part-2/chapter-9/article-10/section-1861-025/"/>
    <hyperlink ref="F27" r:id="rId26" display="https://www.insurance.ca.gov/0250-insurers/0300-insurers/0200-bulletins/bulletin-notices-commiss-opinion/upload/Advisory-Notice-2005-02.pdf"/>
    <hyperlink ref="F28" r:id="rId27" display="https://codes.findlaw.com/ca/insurance-code/ins-sect-11628-3/"/>
    <hyperlink ref="F29" r:id="rId28" display="https://www.insurance.ca.gov/01-consumers/105-type/95-guides/01-auto/auto101.cfm"/>
    <hyperlink ref="F30" r:id="rId29" display="https://www.insurance.ca.gov/01-consumers/105-type/95-guides/01-auto/auto101.cfm"/>
    <hyperlink ref="F31" r:id="rId30" display="https://www.insurance.ca.gov/01-consumers/105-type/95-guides/01-auto/auto101.cfm"/>
    <hyperlink ref="F32" r:id="rId31" display="https://www.insurance.ca.gov/01-consumers/105-type/95-guides/01-auto/auto101.cf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36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8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206</v>
      </c>
      <c r="B2" s="13" t="s">
        <v>207</v>
      </c>
      <c r="C2" s="13" t="s">
        <v>208</v>
      </c>
      <c r="D2" s="13" t="s">
        <v>209</v>
      </c>
      <c r="E2" s="13" t="s">
        <v>210</v>
      </c>
      <c r="F2" s="14" t="s">
        <v>211</v>
      </c>
      <c r="G2" s="15" t="n">
        <v>46295</v>
      </c>
      <c r="H2" s="13" t="s">
        <v>80</v>
      </c>
      <c r="I2" s="13" t="s">
        <v>81</v>
      </c>
      <c r="J2" s="16" t="s">
        <v>11</v>
      </c>
      <c r="K2" s="15" t="n">
        <v>46295</v>
      </c>
      <c r="L2" s="13"/>
    </row>
    <row r="3" customFormat="false" ht="35.05" hidden="false" customHeight="false" outlineLevel="0" collapsed="false">
      <c r="A3" s="13" t="s">
        <v>212</v>
      </c>
      <c r="B3" s="13" t="s">
        <v>213</v>
      </c>
      <c r="C3" s="13" t="s">
        <v>214</v>
      </c>
      <c r="D3" s="13" t="s">
        <v>215</v>
      </c>
      <c r="E3" s="13" t="s">
        <v>216</v>
      </c>
      <c r="F3" s="14" t="s">
        <v>217</v>
      </c>
      <c r="G3" s="15" t="n">
        <v>46295</v>
      </c>
      <c r="H3" s="13" t="s">
        <v>80</v>
      </c>
      <c r="I3" s="13" t="s">
        <v>81</v>
      </c>
      <c r="J3" s="16" t="s">
        <v>11</v>
      </c>
      <c r="K3" s="15" t="n">
        <v>46295</v>
      </c>
      <c r="L3" s="13"/>
    </row>
    <row r="4" customFormat="false" ht="35.05" hidden="false" customHeight="false" outlineLevel="0" collapsed="false">
      <c r="A4" s="13" t="s">
        <v>212</v>
      </c>
      <c r="B4" s="13" t="s">
        <v>218</v>
      </c>
      <c r="C4" s="13" t="s">
        <v>219</v>
      </c>
      <c r="D4" s="13" t="s">
        <v>215</v>
      </c>
      <c r="E4" s="13" t="s">
        <v>216</v>
      </c>
      <c r="F4" s="14" t="s">
        <v>217</v>
      </c>
      <c r="G4" s="15" t="n">
        <v>46295</v>
      </c>
      <c r="H4" s="13" t="s">
        <v>80</v>
      </c>
      <c r="I4" s="13" t="s">
        <v>81</v>
      </c>
      <c r="J4" s="16" t="s">
        <v>11</v>
      </c>
      <c r="K4" s="15" t="n">
        <v>46295</v>
      </c>
      <c r="L4" s="13"/>
    </row>
    <row r="5" customFormat="false" ht="35.05" hidden="false" customHeight="false" outlineLevel="0" collapsed="false">
      <c r="A5" s="13" t="s">
        <v>212</v>
      </c>
      <c r="B5" s="13" t="s">
        <v>220</v>
      </c>
      <c r="C5" s="13" t="s">
        <v>221</v>
      </c>
      <c r="D5" s="13" t="s">
        <v>215</v>
      </c>
      <c r="E5" s="13" t="s">
        <v>216</v>
      </c>
      <c r="F5" s="14" t="s">
        <v>217</v>
      </c>
      <c r="G5" s="15" t="n">
        <v>46295</v>
      </c>
      <c r="H5" s="13" t="s">
        <v>80</v>
      </c>
      <c r="I5" s="13" t="s">
        <v>81</v>
      </c>
      <c r="J5" s="16" t="s">
        <v>11</v>
      </c>
      <c r="K5" s="15" t="n">
        <v>46295</v>
      </c>
      <c r="L5" s="13" t="s">
        <v>222</v>
      </c>
    </row>
    <row r="6" customFormat="false" ht="35.05" hidden="false" customHeight="false" outlineLevel="0" collapsed="false">
      <c r="A6" s="13" t="s">
        <v>212</v>
      </c>
      <c r="B6" s="13" t="s">
        <v>223</v>
      </c>
      <c r="C6" s="13" t="s">
        <v>224</v>
      </c>
      <c r="D6" s="13" t="s">
        <v>215</v>
      </c>
      <c r="E6" s="13" t="s">
        <v>216</v>
      </c>
      <c r="F6" s="14" t="s">
        <v>217</v>
      </c>
      <c r="G6" s="15" t="n">
        <v>46295</v>
      </c>
      <c r="H6" s="13" t="s">
        <v>80</v>
      </c>
      <c r="I6" s="13" t="s">
        <v>81</v>
      </c>
      <c r="J6" s="16" t="s">
        <v>11</v>
      </c>
      <c r="K6" s="15" t="n">
        <v>46295</v>
      </c>
      <c r="L6" s="13"/>
    </row>
    <row r="7" customFormat="false" ht="35.05" hidden="false" customHeight="false" outlineLevel="0" collapsed="false">
      <c r="A7" s="13" t="s">
        <v>212</v>
      </c>
      <c r="B7" s="13" t="s">
        <v>225</v>
      </c>
      <c r="C7" s="13" t="s">
        <v>226</v>
      </c>
      <c r="D7" s="13" t="s">
        <v>215</v>
      </c>
      <c r="E7" s="13" t="s">
        <v>216</v>
      </c>
      <c r="F7" s="14" t="s">
        <v>217</v>
      </c>
      <c r="G7" s="15" t="n">
        <v>46295</v>
      </c>
      <c r="H7" s="13" t="s">
        <v>80</v>
      </c>
      <c r="I7" s="13" t="s">
        <v>81</v>
      </c>
      <c r="J7" s="16" t="s">
        <v>11</v>
      </c>
      <c r="K7" s="15" t="n">
        <v>46295</v>
      </c>
      <c r="L7" s="13"/>
    </row>
    <row r="8" customFormat="false" ht="35.05" hidden="false" customHeight="false" outlineLevel="0" collapsed="false">
      <c r="A8" s="13" t="s">
        <v>212</v>
      </c>
      <c r="B8" s="13" t="s">
        <v>227</v>
      </c>
      <c r="C8" s="13" t="s">
        <v>228</v>
      </c>
      <c r="D8" s="13" t="s">
        <v>215</v>
      </c>
      <c r="E8" s="13" t="s">
        <v>216</v>
      </c>
      <c r="F8" s="14" t="s">
        <v>217</v>
      </c>
      <c r="G8" s="15" t="n">
        <v>46295</v>
      </c>
      <c r="H8" s="13" t="s">
        <v>80</v>
      </c>
      <c r="I8" s="13" t="s">
        <v>81</v>
      </c>
      <c r="J8" s="16" t="s">
        <v>11</v>
      </c>
      <c r="K8" s="15" t="n">
        <v>46295</v>
      </c>
      <c r="L8" s="13" t="s">
        <v>229</v>
      </c>
    </row>
    <row r="9" customFormat="false" ht="35.05" hidden="false" customHeight="false" outlineLevel="0" collapsed="false">
      <c r="A9" s="13" t="s">
        <v>230</v>
      </c>
      <c r="B9" s="13" t="s">
        <v>231</v>
      </c>
      <c r="C9" s="13" t="s">
        <v>232</v>
      </c>
      <c r="D9" s="13" t="s">
        <v>215</v>
      </c>
      <c r="E9" s="13" t="s">
        <v>216</v>
      </c>
      <c r="F9" s="14" t="s">
        <v>217</v>
      </c>
      <c r="G9" s="15" t="n">
        <v>46295</v>
      </c>
      <c r="H9" s="13" t="s">
        <v>80</v>
      </c>
      <c r="I9" s="13" t="s">
        <v>81</v>
      </c>
      <c r="J9" s="16" t="s">
        <v>11</v>
      </c>
      <c r="K9" s="15" t="n">
        <v>46295</v>
      </c>
      <c r="L9" s="13"/>
    </row>
    <row r="10" customFormat="false" ht="35.05" hidden="false" customHeight="false" outlineLevel="0" collapsed="false">
      <c r="A10" s="13" t="s">
        <v>230</v>
      </c>
      <c r="B10" s="13" t="s">
        <v>233</v>
      </c>
      <c r="C10" s="13" t="s">
        <v>234</v>
      </c>
      <c r="D10" s="13" t="s">
        <v>215</v>
      </c>
      <c r="E10" s="13" t="s">
        <v>216</v>
      </c>
      <c r="F10" s="14" t="s">
        <v>217</v>
      </c>
      <c r="G10" s="15" t="n">
        <v>46295</v>
      </c>
      <c r="H10" s="13" t="s">
        <v>80</v>
      </c>
      <c r="I10" s="13" t="s">
        <v>81</v>
      </c>
      <c r="J10" s="16" t="s">
        <v>11</v>
      </c>
      <c r="K10" s="15" t="n">
        <v>46295</v>
      </c>
      <c r="L10" s="13" t="s">
        <v>235</v>
      </c>
    </row>
    <row r="11" customFormat="false" ht="35.05" hidden="false" customHeight="false" outlineLevel="0" collapsed="false">
      <c r="A11" s="13" t="s">
        <v>230</v>
      </c>
      <c r="B11" s="13" t="s">
        <v>236</v>
      </c>
      <c r="C11" s="13" t="s">
        <v>237</v>
      </c>
      <c r="D11" s="13" t="s">
        <v>215</v>
      </c>
      <c r="E11" s="13" t="s">
        <v>216</v>
      </c>
      <c r="F11" s="14" t="s">
        <v>217</v>
      </c>
      <c r="G11" s="15" t="n">
        <v>46295</v>
      </c>
      <c r="H11" s="13" t="s">
        <v>80</v>
      </c>
      <c r="I11" s="13" t="s">
        <v>81</v>
      </c>
      <c r="J11" s="16" t="s">
        <v>11</v>
      </c>
      <c r="K11" s="15" t="n">
        <v>46295</v>
      </c>
      <c r="L11" s="13"/>
    </row>
    <row r="12" customFormat="false" ht="35.05" hidden="false" customHeight="false" outlineLevel="0" collapsed="false">
      <c r="A12" s="13" t="s">
        <v>230</v>
      </c>
      <c r="B12" s="13" t="s">
        <v>238</v>
      </c>
      <c r="C12" s="13" t="s">
        <v>239</v>
      </c>
      <c r="D12" s="13" t="s">
        <v>215</v>
      </c>
      <c r="E12" s="13" t="s">
        <v>216</v>
      </c>
      <c r="F12" s="14" t="s">
        <v>217</v>
      </c>
      <c r="G12" s="15" t="n">
        <v>46295</v>
      </c>
      <c r="H12" s="13" t="s">
        <v>80</v>
      </c>
      <c r="I12" s="13" t="s">
        <v>81</v>
      </c>
      <c r="J12" s="16" t="s">
        <v>11</v>
      </c>
      <c r="K12" s="15" t="n">
        <v>46295</v>
      </c>
      <c r="L12" s="13"/>
    </row>
    <row r="13" customFormat="false" ht="35.05" hidden="false" customHeight="false" outlineLevel="0" collapsed="false">
      <c r="A13" s="13" t="s">
        <v>230</v>
      </c>
      <c r="B13" s="13" t="s">
        <v>240</v>
      </c>
      <c r="C13" s="13" t="s">
        <v>241</v>
      </c>
      <c r="D13" s="13" t="s">
        <v>242</v>
      </c>
      <c r="E13" s="13" t="s">
        <v>216</v>
      </c>
      <c r="F13" s="14" t="s">
        <v>217</v>
      </c>
      <c r="G13" s="15" t="n">
        <v>46295</v>
      </c>
      <c r="H13" s="13" t="s">
        <v>80</v>
      </c>
      <c r="I13" s="13" t="s">
        <v>81</v>
      </c>
      <c r="J13" s="16" t="s">
        <v>11</v>
      </c>
      <c r="K13" s="15" t="n">
        <v>46295</v>
      </c>
      <c r="L13" s="13"/>
    </row>
    <row r="14" customFormat="false" ht="35.05" hidden="false" customHeight="false" outlineLevel="0" collapsed="false">
      <c r="A14" s="13" t="s">
        <v>24</v>
      </c>
      <c r="B14" s="13" t="s">
        <v>243</v>
      </c>
      <c r="C14" s="13" t="s">
        <v>244</v>
      </c>
      <c r="D14" s="13" t="s">
        <v>215</v>
      </c>
      <c r="E14" s="13" t="s">
        <v>216</v>
      </c>
      <c r="F14" s="14" t="s">
        <v>217</v>
      </c>
      <c r="G14" s="15" t="n">
        <v>46295</v>
      </c>
      <c r="H14" s="13" t="s">
        <v>80</v>
      </c>
      <c r="I14" s="13" t="s">
        <v>81</v>
      </c>
      <c r="J14" s="16" t="s">
        <v>11</v>
      </c>
      <c r="K14" s="15" t="n">
        <v>46295</v>
      </c>
      <c r="L14" s="13"/>
    </row>
    <row r="15" customFormat="false" ht="23.85" hidden="false" customHeight="false" outlineLevel="0" collapsed="false">
      <c r="A15" s="13" t="s">
        <v>24</v>
      </c>
      <c r="B15" s="13" t="s">
        <v>245</v>
      </c>
      <c r="C15" s="13" t="s">
        <v>246</v>
      </c>
      <c r="D15" s="13" t="s">
        <v>247</v>
      </c>
      <c r="E15" s="13" t="s">
        <v>248</v>
      </c>
      <c r="F15" s="14" t="s">
        <v>249</v>
      </c>
      <c r="G15" s="15" t="n">
        <v>46295</v>
      </c>
      <c r="H15" s="13" t="s">
        <v>80</v>
      </c>
      <c r="I15" s="13" t="s">
        <v>81</v>
      </c>
      <c r="J15" s="16" t="s">
        <v>11</v>
      </c>
      <c r="K15" s="15" t="n">
        <v>46295</v>
      </c>
      <c r="L15" s="13" t="s">
        <v>250</v>
      </c>
    </row>
    <row r="16" customFormat="false" ht="23.85" hidden="false" customHeight="false" outlineLevel="0" collapsed="false">
      <c r="A16" s="13" t="s">
        <v>24</v>
      </c>
      <c r="B16" s="13" t="s">
        <v>251</v>
      </c>
      <c r="C16" s="13" t="s">
        <v>252</v>
      </c>
      <c r="D16" s="13" t="s">
        <v>253</v>
      </c>
      <c r="E16" s="13" t="s">
        <v>254</v>
      </c>
      <c r="F16" s="14" t="s">
        <v>255</v>
      </c>
      <c r="G16" s="15" t="n">
        <v>46295</v>
      </c>
      <c r="H16" s="13" t="s">
        <v>80</v>
      </c>
      <c r="I16" s="13" t="s">
        <v>98</v>
      </c>
      <c r="J16" s="17" t="s">
        <v>13</v>
      </c>
      <c r="K16" s="15" t="n">
        <v>46295</v>
      </c>
      <c r="L16" s="13" t="s">
        <v>256</v>
      </c>
    </row>
    <row r="17" customFormat="false" ht="35.05" hidden="false" customHeight="false" outlineLevel="0" collapsed="false">
      <c r="A17" s="13" t="s">
        <v>257</v>
      </c>
      <c r="B17" s="13" t="s">
        <v>258</v>
      </c>
      <c r="C17" s="13" t="s">
        <v>259</v>
      </c>
      <c r="D17" s="13" t="s">
        <v>260</v>
      </c>
      <c r="E17" s="13" t="s">
        <v>216</v>
      </c>
      <c r="F17" s="14" t="s">
        <v>217</v>
      </c>
      <c r="G17" s="15" t="n">
        <v>46295</v>
      </c>
      <c r="H17" s="13" t="s">
        <v>80</v>
      </c>
      <c r="I17" s="13" t="s">
        <v>81</v>
      </c>
      <c r="J17" s="16" t="s">
        <v>11</v>
      </c>
      <c r="K17" s="15" t="n">
        <v>46295</v>
      </c>
      <c r="L17" s="13" t="s">
        <v>261</v>
      </c>
    </row>
    <row r="18" customFormat="false" ht="35.05" hidden="false" customHeight="false" outlineLevel="0" collapsed="false">
      <c r="A18" s="13" t="s">
        <v>262</v>
      </c>
      <c r="B18" s="13" t="s">
        <v>263</v>
      </c>
      <c r="C18" s="13" t="s">
        <v>264</v>
      </c>
      <c r="D18" s="13" t="s">
        <v>215</v>
      </c>
      <c r="E18" s="13" t="s">
        <v>216</v>
      </c>
      <c r="F18" s="14" t="s">
        <v>217</v>
      </c>
      <c r="G18" s="15" t="n">
        <v>46295</v>
      </c>
      <c r="H18" s="13" t="s">
        <v>80</v>
      </c>
      <c r="I18" s="13" t="s">
        <v>81</v>
      </c>
      <c r="J18" s="16" t="s">
        <v>11</v>
      </c>
      <c r="K18" s="15" t="n">
        <v>46295</v>
      </c>
      <c r="L18" s="13"/>
    </row>
    <row r="19" customFormat="false" ht="35.05" hidden="false" customHeight="false" outlineLevel="0" collapsed="false">
      <c r="A19" s="13" t="s">
        <v>262</v>
      </c>
      <c r="B19" s="13" t="s">
        <v>265</v>
      </c>
      <c r="C19" s="13" t="s">
        <v>266</v>
      </c>
      <c r="D19" s="13" t="s">
        <v>215</v>
      </c>
      <c r="E19" s="13" t="s">
        <v>216</v>
      </c>
      <c r="F19" s="14" t="s">
        <v>217</v>
      </c>
      <c r="G19" s="15" t="n">
        <v>46295</v>
      </c>
      <c r="H19" s="13" t="s">
        <v>80</v>
      </c>
      <c r="I19" s="13" t="s">
        <v>81</v>
      </c>
      <c r="J19" s="16" t="s">
        <v>11</v>
      </c>
      <c r="K19" s="15" t="n">
        <v>46295</v>
      </c>
      <c r="L19" s="13"/>
    </row>
    <row r="20" customFormat="false" ht="35.05" hidden="false" customHeight="false" outlineLevel="0" collapsed="false">
      <c r="A20" s="13" t="s">
        <v>262</v>
      </c>
      <c r="B20" s="13" t="s">
        <v>267</v>
      </c>
      <c r="C20" s="13" t="s">
        <v>268</v>
      </c>
      <c r="D20" s="13" t="s">
        <v>215</v>
      </c>
      <c r="E20" s="13" t="s">
        <v>216</v>
      </c>
      <c r="F20" s="14" t="s">
        <v>217</v>
      </c>
      <c r="G20" s="15" t="n">
        <v>46295</v>
      </c>
      <c r="H20" s="13" t="s">
        <v>80</v>
      </c>
      <c r="I20" s="13" t="s">
        <v>81</v>
      </c>
      <c r="J20" s="16" t="s">
        <v>11</v>
      </c>
      <c r="K20" s="15" t="n">
        <v>46295</v>
      </c>
      <c r="L20" s="13"/>
    </row>
    <row r="21" customFormat="false" ht="35.05" hidden="false" customHeight="false" outlineLevel="0" collapsed="false">
      <c r="A21" s="13" t="s">
        <v>262</v>
      </c>
      <c r="B21" s="13" t="s">
        <v>269</v>
      </c>
      <c r="C21" s="13" t="s">
        <v>270</v>
      </c>
      <c r="D21" s="13" t="s">
        <v>215</v>
      </c>
      <c r="E21" s="13" t="s">
        <v>216</v>
      </c>
      <c r="F21" s="14" t="s">
        <v>217</v>
      </c>
      <c r="G21" s="15" t="n">
        <v>46295</v>
      </c>
      <c r="H21" s="13" t="s">
        <v>80</v>
      </c>
      <c r="I21" s="13" t="s">
        <v>81</v>
      </c>
      <c r="J21" s="16" t="s">
        <v>11</v>
      </c>
      <c r="K21" s="15" t="n">
        <v>46295</v>
      </c>
      <c r="L21" s="13"/>
    </row>
    <row r="22" customFormat="false" ht="35.05" hidden="false" customHeight="false" outlineLevel="0" collapsed="false">
      <c r="A22" s="13" t="s">
        <v>262</v>
      </c>
      <c r="B22" s="13" t="s">
        <v>271</v>
      </c>
      <c r="C22" s="13" t="s">
        <v>272</v>
      </c>
      <c r="D22" s="13" t="s">
        <v>215</v>
      </c>
      <c r="E22" s="13" t="s">
        <v>216</v>
      </c>
      <c r="F22" s="14" t="s">
        <v>217</v>
      </c>
      <c r="G22" s="15" t="n">
        <v>46295</v>
      </c>
      <c r="H22" s="13" t="s">
        <v>80</v>
      </c>
      <c r="I22" s="13" t="s">
        <v>81</v>
      </c>
      <c r="J22" s="16" t="s">
        <v>11</v>
      </c>
      <c r="K22" s="15" t="n">
        <v>46295</v>
      </c>
      <c r="L22" s="13"/>
    </row>
    <row r="23" customFormat="false" ht="35.05" hidden="false" customHeight="false" outlineLevel="0" collapsed="false">
      <c r="A23" s="13" t="s">
        <v>262</v>
      </c>
      <c r="B23" s="13" t="s">
        <v>273</v>
      </c>
      <c r="C23" s="13" t="s">
        <v>274</v>
      </c>
      <c r="D23" s="13" t="s">
        <v>275</v>
      </c>
      <c r="E23" s="13" t="s">
        <v>276</v>
      </c>
      <c r="F23" s="14" t="s">
        <v>277</v>
      </c>
      <c r="G23" s="15" t="n">
        <v>46295</v>
      </c>
      <c r="H23" s="13" t="s">
        <v>80</v>
      </c>
      <c r="I23" s="13" t="s">
        <v>81</v>
      </c>
      <c r="J23" s="16" t="s">
        <v>11</v>
      </c>
      <c r="K23" s="15" t="n">
        <v>46295</v>
      </c>
      <c r="L23" s="13" t="s">
        <v>278</v>
      </c>
    </row>
    <row r="24" customFormat="false" ht="23.85" hidden="false" customHeight="false" outlineLevel="0" collapsed="false">
      <c r="A24" s="13" t="s">
        <v>262</v>
      </c>
      <c r="B24" s="13" t="s">
        <v>279</v>
      </c>
      <c r="C24" s="13" t="s">
        <v>280</v>
      </c>
      <c r="D24" s="13" t="s">
        <v>281</v>
      </c>
      <c r="E24" s="13" t="s">
        <v>276</v>
      </c>
      <c r="F24" s="14" t="s">
        <v>277</v>
      </c>
      <c r="G24" s="15" t="n">
        <v>46295</v>
      </c>
      <c r="H24" s="13" t="s">
        <v>80</v>
      </c>
      <c r="I24" s="13" t="s">
        <v>81</v>
      </c>
      <c r="J24" s="16" t="s">
        <v>11</v>
      </c>
      <c r="K24" s="15" t="n">
        <v>46295</v>
      </c>
      <c r="L24" s="13"/>
    </row>
    <row r="25" customFormat="false" ht="35.05" hidden="false" customHeight="false" outlineLevel="0" collapsed="false">
      <c r="A25" s="13" t="s">
        <v>282</v>
      </c>
      <c r="B25" s="13" t="s">
        <v>283</v>
      </c>
      <c r="C25" s="13" t="s">
        <v>284</v>
      </c>
      <c r="D25" s="13" t="s">
        <v>281</v>
      </c>
      <c r="E25" s="13" t="s">
        <v>276</v>
      </c>
      <c r="F25" s="14" t="s">
        <v>277</v>
      </c>
      <c r="G25" s="15" t="n">
        <v>46295</v>
      </c>
      <c r="H25" s="13" t="s">
        <v>80</v>
      </c>
      <c r="I25" s="13" t="s">
        <v>81</v>
      </c>
      <c r="J25" s="16" t="s">
        <v>11</v>
      </c>
      <c r="K25" s="15" t="n">
        <v>46295</v>
      </c>
      <c r="L25" s="13"/>
    </row>
    <row r="26" customFormat="false" ht="35.05" hidden="false" customHeight="false" outlineLevel="0" collapsed="false">
      <c r="A26" s="13" t="s">
        <v>285</v>
      </c>
      <c r="B26" s="13" t="s">
        <v>286</v>
      </c>
      <c r="C26" s="13" t="s">
        <v>287</v>
      </c>
      <c r="D26" s="13" t="s">
        <v>288</v>
      </c>
      <c r="E26" s="13" t="s">
        <v>289</v>
      </c>
      <c r="F26" s="14" t="s">
        <v>290</v>
      </c>
      <c r="G26" s="15" t="n">
        <v>46295</v>
      </c>
      <c r="H26" s="13" t="s">
        <v>80</v>
      </c>
      <c r="I26" s="13" t="s">
        <v>81</v>
      </c>
      <c r="J26" s="16" t="s">
        <v>11</v>
      </c>
      <c r="K26" s="15" t="n">
        <v>46295</v>
      </c>
      <c r="L26" s="13"/>
    </row>
    <row r="27" customFormat="false" ht="35.05" hidden="false" customHeight="false" outlineLevel="0" collapsed="false">
      <c r="A27" s="13" t="s">
        <v>285</v>
      </c>
      <c r="B27" s="13" t="s">
        <v>291</v>
      </c>
      <c r="C27" s="13" t="s">
        <v>292</v>
      </c>
      <c r="D27" s="13" t="s">
        <v>293</v>
      </c>
      <c r="E27" s="13" t="s">
        <v>294</v>
      </c>
      <c r="F27" s="14" t="s">
        <v>295</v>
      </c>
      <c r="G27" s="15" t="n">
        <v>46295</v>
      </c>
      <c r="H27" s="13" t="s">
        <v>80</v>
      </c>
      <c r="I27" s="13" t="s">
        <v>105</v>
      </c>
      <c r="J27" s="16" t="s">
        <v>11</v>
      </c>
      <c r="K27" s="15" t="n">
        <v>46295</v>
      </c>
      <c r="L27" s="13" t="s">
        <v>296</v>
      </c>
    </row>
    <row r="28" customFormat="false" ht="23.85" hidden="false" customHeight="false" outlineLevel="0" collapsed="false">
      <c r="A28" s="13" t="s">
        <v>285</v>
      </c>
      <c r="B28" s="13" t="s">
        <v>297</v>
      </c>
      <c r="C28" s="13" t="s">
        <v>298</v>
      </c>
      <c r="D28" s="13" t="s">
        <v>299</v>
      </c>
      <c r="E28" s="13" t="s">
        <v>289</v>
      </c>
      <c r="F28" s="14" t="s">
        <v>290</v>
      </c>
      <c r="G28" s="15" t="n">
        <v>46295</v>
      </c>
      <c r="H28" s="13" t="s">
        <v>80</v>
      </c>
      <c r="I28" s="13" t="s">
        <v>81</v>
      </c>
      <c r="J28" s="16" t="s">
        <v>11</v>
      </c>
      <c r="K28" s="15" t="n">
        <v>46295</v>
      </c>
      <c r="L28" s="13"/>
    </row>
    <row r="29" customFormat="false" ht="23.85" hidden="false" customHeight="false" outlineLevel="0" collapsed="false">
      <c r="A29" s="13" t="s">
        <v>285</v>
      </c>
      <c r="B29" s="13" t="s">
        <v>300</v>
      </c>
      <c r="C29" s="13" t="s">
        <v>301</v>
      </c>
      <c r="D29" s="13" t="s">
        <v>299</v>
      </c>
      <c r="E29" s="13" t="s">
        <v>289</v>
      </c>
      <c r="F29" s="14" t="s">
        <v>290</v>
      </c>
      <c r="G29" s="15" t="n">
        <v>46295</v>
      </c>
      <c r="H29" s="13" t="s">
        <v>80</v>
      </c>
      <c r="I29" s="13" t="s">
        <v>81</v>
      </c>
      <c r="J29" s="16" t="s">
        <v>11</v>
      </c>
      <c r="K29" s="15" t="n">
        <v>46295</v>
      </c>
      <c r="L29" s="13"/>
    </row>
    <row r="30" customFormat="false" ht="15" hidden="false" customHeight="false" outlineLevel="0" collapsed="false">
      <c r="A30" s="13" t="s">
        <v>285</v>
      </c>
      <c r="B30" s="13" t="s">
        <v>302</v>
      </c>
      <c r="C30" s="13" t="s">
        <v>303</v>
      </c>
      <c r="D30" s="13" t="s">
        <v>304</v>
      </c>
      <c r="E30" s="13" t="s">
        <v>289</v>
      </c>
      <c r="F30" s="14" t="s">
        <v>290</v>
      </c>
      <c r="G30" s="15" t="n">
        <v>46295</v>
      </c>
      <c r="H30" s="13" t="s">
        <v>80</v>
      </c>
      <c r="I30" s="13" t="s">
        <v>81</v>
      </c>
      <c r="J30" s="16" t="s">
        <v>11</v>
      </c>
      <c r="K30" s="15" t="n">
        <v>46295</v>
      </c>
      <c r="L30" s="13" t="s">
        <v>305</v>
      </c>
    </row>
    <row r="31" customFormat="false" ht="35.05" hidden="false" customHeight="false" outlineLevel="0" collapsed="false">
      <c r="A31" s="13" t="s">
        <v>285</v>
      </c>
      <c r="B31" s="13" t="s">
        <v>306</v>
      </c>
      <c r="C31" s="13" t="s">
        <v>307</v>
      </c>
      <c r="D31" s="13" t="s">
        <v>308</v>
      </c>
      <c r="E31" s="13" t="s">
        <v>309</v>
      </c>
      <c r="F31" s="14" t="s">
        <v>310</v>
      </c>
      <c r="G31" s="15" t="n">
        <v>46295</v>
      </c>
      <c r="H31" s="13" t="s">
        <v>80</v>
      </c>
      <c r="I31" s="13" t="s">
        <v>81</v>
      </c>
      <c r="J31" s="16" t="s">
        <v>11</v>
      </c>
      <c r="K31" s="15" t="n">
        <v>46295</v>
      </c>
      <c r="L31" s="13" t="s">
        <v>311</v>
      </c>
    </row>
    <row r="32" customFormat="false" ht="23.85" hidden="false" customHeight="false" outlineLevel="0" collapsed="false">
      <c r="A32" s="13" t="s">
        <v>285</v>
      </c>
      <c r="B32" s="13" t="s">
        <v>312</v>
      </c>
      <c r="C32" s="13" t="s">
        <v>313</v>
      </c>
      <c r="D32" s="13" t="s">
        <v>308</v>
      </c>
      <c r="E32" s="13" t="s">
        <v>309</v>
      </c>
      <c r="F32" s="14" t="s">
        <v>310</v>
      </c>
      <c r="G32" s="15" t="n">
        <v>46295</v>
      </c>
      <c r="H32" s="13" t="s">
        <v>80</v>
      </c>
      <c r="I32" s="13" t="s">
        <v>81</v>
      </c>
      <c r="J32" s="16" t="s">
        <v>11</v>
      </c>
      <c r="K32" s="15" t="n">
        <v>46295</v>
      </c>
      <c r="L32" s="13"/>
    </row>
    <row r="33" customFormat="false" ht="23.85" hidden="false" customHeight="false" outlineLevel="0" collapsed="false">
      <c r="A33" s="13" t="s">
        <v>314</v>
      </c>
      <c r="B33" s="13" t="s">
        <v>315</v>
      </c>
      <c r="C33" s="13" t="s">
        <v>316</v>
      </c>
      <c r="D33" s="13" t="s">
        <v>317</v>
      </c>
      <c r="E33" s="13" t="s">
        <v>318</v>
      </c>
      <c r="F33" s="14" t="s">
        <v>319</v>
      </c>
      <c r="G33" s="15" t="n">
        <v>46295</v>
      </c>
      <c r="H33" s="13" t="s">
        <v>80</v>
      </c>
      <c r="I33" s="13" t="s">
        <v>81</v>
      </c>
      <c r="J33" s="16" t="s">
        <v>11</v>
      </c>
      <c r="K33" s="15" t="n">
        <v>46295</v>
      </c>
      <c r="L33" s="13"/>
    </row>
    <row r="34" customFormat="false" ht="35.05" hidden="false" customHeight="false" outlineLevel="0" collapsed="false">
      <c r="A34" s="13" t="s">
        <v>314</v>
      </c>
      <c r="B34" s="13" t="s">
        <v>320</v>
      </c>
      <c r="C34" s="13" t="s">
        <v>321</v>
      </c>
      <c r="D34" s="13" t="s">
        <v>215</v>
      </c>
      <c r="E34" s="13" t="s">
        <v>216</v>
      </c>
      <c r="F34" s="14" t="s">
        <v>217</v>
      </c>
      <c r="G34" s="15" t="n">
        <v>46295</v>
      </c>
      <c r="H34" s="13" t="s">
        <v>80</v>
      </c>
      <c r="I34" s="13" t="s">
        <v>81</v>
      </c>
      <c r="J34" s="16" t="s">
        <v>11</v>
      </c>
      <c r="K34" s="15" t="n">
        <v>46295</v>
      </c>
      <c r="L34" s="13" t="s">
        <v>322</v>
      </c>
    </row>
    <row r="35" customFormat="false" ht="23.85" hidden="false" customHeight="false" outlineLevel="0" collapsed="false">
      <c r="A35" s="13" t="s">
        <v>314</v>
      </c>
      <c r="B35" s="13" t="s">
        <v>323</v>
      </c>
      <c r="C35" s="13" t="s">
        <v>324</v>
      </c>
      <c r="D35" s="13" t="s">
        <v>325</v>
      </c>
      <c r="E35" s="13" t="s">
        <v>318</v>
      </c>
      <c r="F35" s="14" t="s">
        <v>319</v>
      </c>
      <c r="G35" s="15" t="n">
        <v>46295</v>
      </c>
      <c r="H35" s="13" t="s">
        <v>80</v>
      </c>
      <c r="I35" s="13" t="s">
        <v>81</v>
      </c>
      <c r="J35" s="16" t="s">
        <v>11</v>
      </c>
      <c r="K35" s="15" t="n">
        <v>46295</v>
      </c>
      <c r="L35" s="13"/>
    </row>
    <row r="36" customFormat="false" ht="35.05" hidden="false" customHeight="false" outlineLevel="0" collapsed="false">
      <c r="A36" s="13" t="s">
        <v>326</v>
      </c>
      <c r="B36" s="13" t="s">
        <v>327</v>
      </c>
      <c r="C36" s="13" t="s">
        <v>328</v>
      </c>
      <c r="D36" s="13" t="s">
        <v>329</v>
      </c>
      <c r="E36" s="13" t="s">
        <v>216</v>
      </c>
      <c r="F36" s="14" t="s">
        <v>217</v>
      </c>
      <c r="G36" s="15" t="n">
        <v>46295</v>
      </c>
      <c r="H36" s="13" t="s">
        <v>80</v>
      </c>
      <c r="I36" s="13" t="s">
        <v>81</v>
      </c>
      <c r="J36" s="16" t="s">
        <v>11</v>
      </c>
      <c r="K36" s="15" t="n">
        <v>46295</v>
      </c>
      <c r="L36" s="13"/>
    </row>
    <row r="37" customFormat="false" ht="35.05" hidden="false" customHeight="false" outlineLevel="0" collapsed="false">
      <c r="A37" s="13" t="s">
        <v>326</v>
      </c>
      <c r="B37" s="13" t="s">
        <v>330</v>
      </c>
      <c r="C37" s="13" t="s">
        <v>331</v>
      </c>
      <c r="D37" s="13" t="s">
        <v>215</v>
      </c>
      <c r="E37" s="13" t="s">
        <v>216</v>
      </c>
      <c r="F37" s="14" t="s">
        <v>217</v>
      </c>
      <c r="G37" s="15" t="n">
        <v>46295</v>
      </c>
      <c r="H37" s="13" t="s">
        <v>80</v>
      </c>
      <c r="I37" s="13" t="s">
        <v>81</v>
      </c>
      <c r="J37" s="16" t="s">
        <v>11</v>
      </c>
      <c r="K37" s="15" t="n">
        <v>46295</v>
      </c>
      <c r="L37" s="13" t="s">
        <v>332</v>
      </c>
    </row>
    <row r="38" customFormat="false" ht="35.05" hidden="false" customHeight="false" outlineLevel="0" collapsed="false">
      <c r="A38" s="13" t="s">
        <v>326</v>
      </c>
      <c r="B38" s="13" t="s">
        <v>333</v>
      </c>
      <c r="C38" s="13" t="s">
        <v>334</v>
      </c>
      <c r="D38" s="13" t="s">
        <v>215</v>
      </c>
      <c r="E38" s="13" t="s">
        <v>216</v>
      </c>
      <c r="F38" s="14" t="s">
        <v>217</v>
      </c>
      <c r="G38" s="15" t="n">
        <v>46295</v>
      </c>
      <c r="H38" s="13" t="s">
        <v>80</v>
      </c>
      <c r="I38" s="13" t="s">
        <v>81</v>
      </c>
      <c r="J38" s="16" t="s">
        <v>11</v>
      </c>
      <c r="K38" s="15" t="n">
        <v>46295</v>
      </c>
      <c r="L38" s="13"/>
    </row>
    <row r="39" customFormat="false" ht="23.85" hidden="false" customHeight="false" outlineLevel="0" collapsed="false">
      <c r="A39" s="13" t="s">
        <v>326</v>
      </c>
      <c r="B39" s="13" t="s">
        <v>335</v>
      </c>
      <c r="C39" s="13" t="s">
        <v>336</v>
      </c>
      <c r="D39" s="13" t="s">
        <v>337</v>
      </c>
      <c r="E39" s="13" t="s">
        <v>338</v>
      </c>
      <c r="F39" s="14" t="s">
        <v>339</v>
      </c>
      <c r="G39" s="15" t="n">
        <v>46295</v>
      </c>
      <c r="H39" s="13" t="s">
        <v>80</v>
      </c>
      <c r="I39" s="13" t="s">
        <v>81</v>
      </c>
      <c r="J39" s="16" t="s">
        <v>11</v>
      </c>
      <c r="K39" s="15" t="n">
        <v>46295</v>
      </c>
      <c r="L39" s="13" t="s">
        <v>340</v>
      </c>
    </row>
    <row r="40" customFormat="false" ht="23.85" hidden="false" customHeight="false" outlineLevel="0" collapsed="false">
      <c r="A40" s="13" t="s">
        <v>326</v>
      </c>
      <c r="B40" s="13" t="s">
        <v>341</v>
      </c>
      <c r="C40" s="13" t="s">
        <v>342</v>
      </c>
      <c r="D40" s="13" t="s">
        <v>343</v>
      </c>
      <c r="E40" s="13" t="s">
        <v>344</v>
      </c>
      <c r="F40" s="14" t="s">
        <v>345</v>
      </c>
      <c r="G40" s="15" t="n">
        <v>46295</v>
      </c>
      <c r="H40" s="13" t="s">
        <v>80</v>
      </c>
      <c r="I40" s="13" t="s">
        <v>98</v>
      </c>
      <c r="J40" s="17" t="s">
        <v>13</v>
      </c>
      <c r="K40" s="15" t="n">
        <v>46295</v>
      </c>
      <c r="L40" s="13" t="s">
        <v>346</v>
      </c>
    </row>
    <row r="41" customFormat="false" ht="23.85" hidden="false" customHeight="false" outlineLevel="0" collapsed="false">
      <c r="A41" s="13" t="s">
        <v>326</v>
      </c>
      <c r="B41" s="13" t="s">
        <v>347</v>
      </c>
      <c r="C41" s="13" t="s">
        <v>348</v>
      </c>
      <c r="D41" s="13" t="s">
        <v>349</v>
      </c>
      <c r="E41" s="13" t="s">
        <v>350</v>
      </c>
      <c r="F41" s="14" t="s">
        <v>351</v>
      </c>
      <c r="G41" s="15" t="n">
        <v>46295</v>
      </c>
      <c r="H41" s="13" t="s">
        <v>80</v>
      </c>
      <c r="I41" s="13" t="s">
        <v>98</v>
      </c>
      <c r="J41" s="17" t="s">
        <v>13</v>
      </c>
      <c r="K41" s="15" t="n">
        <v>46295</v>
      </c>
      <c r="L41" s="13" t="s">
        <v>352</v>
      </c>
    </row>
    <row r="42" customFormat="false" ht="46.25" hidden="false" customHeight="false" outlineLevel="0" collapsed="false">
      <c r="A42" s="13" t="s">
        <v>353</v>
      </c>
      <c r="B42" s="13" t="s">
        <v>354</v>
      </c>
      <c r="C42" s="13" t="s">
        <v>355</v>
      </c>
      <c r="D42" s="13" t="s">
        <v>356</v>
      </c>
      <c r="E42" s="13" t="s">
        <v>357</v>
      </c>
      <c r="F42" s="14" t="s">
        <v>358</v>
      </c>
      <c r="G42" s="15" t="n">
        <v>46295</v>
      </c>
      <c r="H42" s="13" t="s">
        <v>80</v>
      </c>
      <c r="I42" s="13" t="s">
        <v>81</v>
      </c>
      <c r="J42" s="16" t="s">
        <v>11</v>
      </c>
      <c r="K42" s="15" t="n">
        <v>46295</v>
      </c>
      <c r="L42" s="13" t="s">
        <v>359</v>
      </c>
    </row>
    <row r="43" customFormat="false" ht="35.05" hidden="false" customHeight="false" outlineLevel="0" collapsed="false">
      <c r="A43" s="13" t="s">
        <v>353</v>
      </c>
      <c r="B43" s="13" t="s">
        <v>360</v>
      </c>
      <c r="C43" s="13" t="s">
        <v>361</v>
      </c>
      <c r="D43" s="13" t="s">
        <v>215</v>
      </c>
      <c r="E43" s="13" t="s">
        <v>216</v>
      </c>
      <c r="F43" s="14" t="s">
        <v>217</v>
      </c>
      <c r="G43" s="15" t="n">
        <v>46295</v>
      </c>
      <c r="H43" s="13" t="s">
        <v>80</v>
      </c>
      <c r="I43" s="13" t="s">
        <v>81</v>
      </c>
      <c r="J43" s="16" t="s">
        <v>11</v>
      </c>
      <c r="K43" s="15" t="n">
        <v>46295</v>
      </c>
      <c r="L43" s="13" t="s">
        <v>362</v>
      </c>
    </row>
    <row r="44" customFormat="false" ht="35.05" hidden="false" customHeight="false" outlineLevel="0" collapsed="false">
      <c r="A44" s="13" t="s">
        <v>353</v>
      </c>
      <c r="B44" s="13" t="s">
        <v>363</v>
      </c>
      <c r="C44" s="13" t="s">
        <v>364</v>
      </c>
      <c r="D44" s="13" t="s">
        <v>215</v>
      </c>
      <c r="E44" s="13" t="s">
        <v>216</v>
      </c>
      <c r="F44" s="14" t="s">
        <v>217</v>
      </c>
      <c r="G44" s="15" t="n">
        <v>46295</v>
      </c>
      <c r="H44" s="13" t="s">
        <v>80</v>
      </c>
      <c r="I44" s="13" t="s">
        <v>81</v>
      </c>
      <c r="J44" s="16" t="s">
        <v>11</v>
      </c>
      <c r="K44" s="15" t="n">
        <v>46295</v>
      </c>
      <c r="L44" s="13"/>
    </row>
    <row r="45" customFormat="false" ht="35.05" hidden="false" customHeight="false" outlineLevel="0" collapsed="false">
      <c r="A45" s="13" t="s">
        <v>365</v>
      </c>
      <c r="B45" s="13" t="s">
        <v>366</v>
      </c>
      <c r="C45" s="13" t="s">
        <v>367</v>
      </c>
      <c r="D45" s="13" t="s">
        <v>215</v>
      </c>
      <c r="E45" s="13" t="s">
        <v>216</v>
      </c>
      <c r="F45" s="14" t="s">
        <v>217</v>
      </c>
      <c r="G45" s="15" t="n">
        <v>46295</v>
      </c>
      <c r="H45" s="13" t="s">
        <v>80</v>
      </c>
      <c r="I45" s="13" t="s">
        <v>81</v>
      </c>
      <c r="J45" s="16" t="s">
        <v>11</v>
      </c>
      <c r="K45" s="15" t="n">
        <v>46295</v>
      </c>
      <c r="L45" s="13" t="s">
        <v>368</v>
      </c>
    </row>
  </sheetData>
  <autoFilter ref="A1:L45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www.insurance.ca.gov/01-consumers/105-type/95-guides/upload/Homeowners-Insurance-Updated-121924.pdf"/>
    <hyperlink ref="F3" r:id="rId2" display="https://www.insurance.ca.gov/01-consumers/105-type/95-guides/03-res/res-ins-guide.cfm"/>
    <hyperlink ref="F4" r:id="rId3" display="https://www.insurance.ca.gov/01-consumers/105-type/95-guides/03-res/res-ins-guide.cfm"/>
    <hyperlink ref="F5" r:id="rId4" display="https://www.insurance.ca.gov/01-consumers/105-type/95-guides/03-res/res-ins-guide.cfm"/>
    <hyperlink ref="F6" r:id="rId5" display="https://www.insurance.ca.gov/01-consumers/105-type/95-guides/03-res/res-ins-guide.cfm"/>
    <hyperlink ref="F7" r:id="rId6" display="https://www.insurance.ca.gov/01-consumers/105-type/95-guides/03-res/res-ins-guide.cfm"/>
    <hyperlink ref="F8" r:id="rId7" display="https://www.insurance.ca.gov/01-consumers/105-type/95-guides/03-res/res-ins-guide.cfm"/>
    <hyperlink ref="F9" r:id="rId8" display="https://www.insurance.ca.gov/01-consumers/105-type/95-guides/03-res/res-ins-guide.cfm"/>
    <hyperlink ref="F10" r:id="rId9" display="https://www.insurance.ca.gov/01-consumers/105-type/95-guides/03-res/res-ins-guide.cfm"/>
    <hyperlink ref="F11" r:id="rId10" display="https://www.insurance.ca.gov/01-consumers/105-type/95-guides/03-res/res-ins-guide.cfm"/>
    <hyperlink ref="F12" r:id="rId11" display="https://www.insurance.ca.gov/01-consumers/105-type/95-guides/03-res/res-ins-guide.cfm"/>
    <hyperlink ref="F13" r:id="rId12" display="https://www.insurance.ca.gov/01-consumers/105-type/95-guides/03-res/res-ins-guide.cfm"/>
    <hyperlink ref="F14" r:id="rId13" display="https://www.insurance.ca.gov/01-consumers/105-type/95-guides/03-res/res-ins-guide.cfm"/>
    <hyperlink ref="F15" r:id="rId14" display="https://www.insurance.ca.gov/01-consumers/200-wrr/Safer-from-Wildfires.cfm"/>
    <hyperlink ref="F16" r:id="rId15" display="https://media.rff.org/documents/WP_25-30.pdf"/>
    <hyperlink ref="F17" r:id="rId16" display="https://www.insurance.ca.gov/01-consumers/105-type/95-guides/03-res/res-ins-guide.cfm"/>
    <hyperlink ref="F18" r:id="rId17" display="https://www.insurance.ca.gov/01-consumers/105-type/95-guides/03-res/res-ins-guide.cfm"/>
    <hyperlink ref="F19" r:id="rId18" display="https://www.insurance.ca.gov/01-consumers/105-type/95-guides/03-res/res-ins-guide.cfm"/>
    <hyperlink ref="F20" r:id="rId19" display="https://www.insurance.ca.gov/01-consumers/105-type/95-guides/03-res/res-ins-guide.cfm"/>
    <hyperlink ref="F21" r:id="rId20" display="https://www.insurance.ca.gov/01-consumers/105-type/95-guides/03-res/res-ins-guide.cfm"/>
    <hyperlink ref="F22" r:id="rId21" display="https://www.insurance.ca.gov/01-consumers/105-type/95-guides/03-res/res-ins-guide.cfm"/>
    <hyperlink ref="F23" r:id="rId22" display="https://www.insurance.ca.gov/0400-news/0100-press-releases/2025/release079-2025.cfm"/>
    <hyperlink ref="F24" r:id="rId23" display="https://www.insurance.ca.gov/0400-news/0100-press-releases/2025/release079-2025.cfm"/>
    <hyperlink ref="F25" r:id="rId24" display="https://www.insurance.ca.gov/0400-news/0100-press-releases/2025/release079-2025.cfm"/>
    <hyperlink ref="F26" r:id="rId25" display="https://www.insurance.ca.gov/01-consumers/105-type/95-guides/03-res/eq-ins.cfm"/>
    <hyperlink ref="F27" r:id="rId26" display="https://law.justia.com/codes/california/code-ins/division-2/part-1/chapter-8-5/section-10083/"/>
    <hyperlink ref="F28" r:id="rId27" display="https://www.insurance.ca.gov/01-consumers/105-type/95-guides/03-res/eq-ins.cfm"/>
    <hyperlink ref="F29" r:id="rId28" display="https://www.insurance.ca.gov/01-consumers/105-type/95-guides/03-res/eq-ins.cfm"/>
    <hyperlink ref="F30" r:id="rId29" display="https://www.insurance.ca.gov/01-consumers/105-type/95-guides/03-res/eq-ins.cfm"/>
    <hyperlink ref="F31" r:id="rId30" display="https://www.earthquakeauthority.com/california-earthquake-insurance-policies/homeowners"/>
    <hyperlink ref="F32" r:id="rId31" display="https://www.earthquakeauthority.com/california-earthquake-insurance-policies/homeowners"/>
    <hyperlink ref="F33" r:id="rId32" display="https://www.insurance.ca.gov/01-consumers/140-catastrophes/FloodFacts.cfm"/>
    <hyperlink ref="F34" r:id="rId33" display="https://www.insurance.ca.gov/01-consumers/105-type/95-guides/03-res/res-ins-guide.cfm"/>
    <hyperlink ref="F35" r:id="rId34" display="https://www.insurance.ca.gov/01-consumers/140-catastrophes/FloodFacts.cfm"/>
    <hyperlink ref="F36" r:id="rId35" display="https://www.insurance.ca.gov/01-consumers/105-type/95-guides/03-res/res-ins-guide.cfm"/>
    <hyperlink ref="F37" r:id="rId36" display="https://www.insurance.ca.gov/01-consumers/105-type/95-guides/03-res/res-ins-guide.cfm"/>
    <hyperlink ref="F38" r:id="rId37" display="https://www.insurance.ca.gov/01-consumers/105-type/95-guides/03-res/res-ins-guide.cfm"/>
    <hyperlink ref="F39" r:id="rId38" display="https://www.insurance.ca.gov/0400-news/0100-press-releases/2019/release089-19.cfm"/>
    <hyperlink ref="F40" r:id="rId39" display="https://www.kqed.org/news/12094860/california-fair-plan-announces-29-1-rate-hike-for-homeowners-this-fall"/>
    <hyperlink ref="F41" r:id="rId40" display="https://insurancenewsnet.com/oarticle/california-fair-plan-rates-going-up-29-1-in-late-2026"/>
    <hyperlink ref="F42" r:id="rId41" display="https://www.insurance.ca.gov/01-consumers/180-climate-change/SustainableInsuranceStrategy.cfm"/>
    <hyperlink ref="F43" r:id="rId42" display="https://www.insurance.ca.gov/01-consumers/105-type/95-guides/03-res/res-ins-guide.cfm"/>
    <hyperlink ref="F44" r:id="rId43" display="https://www.insurance.ca.gov/01-consumers/105-type/95-guides/03-res/res-ins-guide.cfm"/>
    <hyperlink ref="F45" r:id="rId44" display="https://www.insurance.ca.gov/01-consumers/105-type/95-guides/03-res/res-ins-guide.cf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0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74</v>
      </c>
      <c r="B2" s="13" t="s">
        <v>369</v>
      </c>
      <c r="C2" s="13" t="s">
        <v>370</v>
      </c>
      <c r="D2" s="13" t="s">
        <v>371</v>
      </c>
      <c r="E2" s="13" t="s">
        <v>372</v>
      </c>
      <c r="F2" s="14" t="s">
        <v>373</v>
      </c>
      <c r="G2" s="15" t="n">
        <v>46295</v>
      </c>
      <c r="H2" s="13" t="s">
        <v>374</v>
      </c>
      <c r="I2" s="13" t="s">
        <v>81</v>
      </c>
      <c r="J2" s="16" t="s">
        <v>11</v>
      </c>
      <c r="K2" s="15" t="n">
        <v>46295</v>
      </c>
      <c r="L2" s="13" t="s">
        <v>375</v>
      </c>
    </row>
    <row r="3" customFormat="false" ht="23.85" hidden="false" customHeight="false" outlineLevel="0" collapsed="false">
      <c r="A3" s="13" t="s">
        <v>122</v>
      </c>
      <c r="B3" s="13" t="s">
        <v>376</v>
      </c>
      <c r="C3" s="13" t="s">
        <v>377</v>
      </c>
      <c r="D3" s="13" t="s">
        <v>378</v>
      </c>
      <c r="E3" s="13" t="s">
        <v>372</v>
      </c>
      <c r="F3" s="14" t="s">
        <v>373</v>
      </c>
      <c r="G3" s="15" t="n">
        <v>46295</v>
      </c>
      <c r="H3" s="13" t="s">
        <v>374</v>
      </c>
      <c r="I3" s="13" t="s">
        <v>81</v>
      </c>
      <c r="J3" s="16" t="s">
        <v>11</v>
      </c>
      <c r="K3" s="15" t="n">
        <v>46295</v>
      </c>
      <c r="L3" s="13" t="s">
        <v>379</v>
      </c>
    </row>
    <row r="4" customFormat="false" ht="23.85" hidden="false" customHeight="false" outlineLevel="0" collapsed="false">
      <c r="A4" s="13" t="s">
        <v>122</v>
      </c>
      <c r="B4" s="13" t="s">
        <v>380</v>
      </c>
      <c r="C4" s="13" t="s">
        <v>381</v>
      </c>
      <c r="D4" s="13" t="s">
        <v>382</v>
      </c>
      <c r="E4" s="13" t="s">
        <v>383</v>
      </c>
      <c r="F4" s="14" t="s">
        <v>384</v>
      </c>
      <c r="G4" s="15" t="n">
        <v>46295</v>
      </c>
      <c r="H4" s="13" t="s">
        <v>374</v>
      </c>
      <c r="I4" s="13" t="s">
        <v>98</v>
      </c>
      <c r="J4" s="17" t="s">
        <v>13</v>
      </c>
      <c r="K4" s="15" t="n">
        <v>46295</v>
      </c>
      <c r="L4" s="13" t="s">
        <v>385</v>
      </c>
    </row>
    <row r="5" customFormat="false" ht="23.85" hidden="false" customHeight="false" outlineLevel="0" collapsed="false">
      <c r="A5" s="13" t="s">
        <v>122</v>
      </c>
      <c r="B5" s="13" t="s">
        <v>123</v>
      </c>
      <c r="C5" s="13" t="s">
        <v>386</v>
      </c>
      <c r="D5" s="13" t="s">
        <v>378</v>
      </c>
      <c r="E5" s="13" t="s">
        <v>372</v>
      </c>
      <c r="F5" s="14" t="s">
        <v>373</v>
      </c>
      <c r="G5" s="15" t="n">
        <v>46295</v>
      </c>
      <c r="H5" s="13" t="s">
        <v>374</v>
      </c>
      <c r="I5" s="13" t="s">
        <v>81</v>
      </c>
      <c r="J5" s="16" t="s">
        <v>11</v>
      </c>
      <c r="K5" s="15" t="n">
        <v>46295</v>
      </c>
      <c r="L5" s="13"/>
    </row>
    <row r="6" customFormat="false" ht="23.85" hidden="false" customHeight="false" outlineLevel="0" collapsed="false">
      <c r="A6" s="13" t="s">
        <v>122</v>
      </c>
      <c r="B6" s="13" t="s">
        <v>130</v>
      </c>
      <c r="C6" s="13" t="s">
        <v>387</v>
      </c>
      <c r="D6" s="13" t="s">
        <v>378</v>
      </c>
      <c r="E6" s="13" t="s">
        <v>372</v>
      </c>
      <c r="F6" s="14" t="s">
        <v>373</v>
      </c>
      <c r="G6" s="15" t="n">
        <v>46295</v>
      </c>
      <c r="H6" s="13" t="s">
        <v>374</v>
      </c>
      <c r="I6" s="13" t="s">
        <v>81</v>
      </c>
      <c r="J6" s="16" t="s">
        <v>11</v>
      </c>
      <c r="K6" s="15" t="n">
        <v>46295</v>
      </c>
      <c r="L6" s="13"/>
    </row>
    <row r="7" customFormat="false" ht="23.85" hidden="false" customHeight="false" outlineLevel="0" collapsed="false">
      <c r="A7" s="13" t="s">
        <v>257</v>
      </c>
      <c r="B7" s="13" t="s">
        <v>388</v>
      </c>
      <c r="C7" s="13" t="s">
        <v>389</v>
      </c>
      <c r="D7" s="13" t="s">
        <v>378</v>
      </c>
      <c r="E7" s="13" t="s">
        <v>372</v>
      </c>
      <c r="F7" s="14" t="s">
        <v>373</v>
      </c>
      <c r="G7" s="15" t="n">
        <v>46295</v>
      </c>
      <c r="H7" s="13" t="s">
        <v>374</v>
      </c>
      <c r="I7" s="13" t="s">
        <v>81</v>
      </c>
      <c r="J7" s="16" t="s">
        <v>11</v>
      </c>
      <c r="K7" s="15" t="n">
        <v>46295</v>
      </c>
      <c r="L7" s="13"/>
    </row>
    <row r="8" customFormat="false" ht="23.85" hidden="false" customHeight="false" outlineLevel="0" collapsed="false">
      <c r="A8" s="13" t="s">
        <v>390</v>
      </c>
      <c r="B8" s="13" t="s">
        <v>391</v>
      </c>
      <c r="C8" s="13" t="s">
        <v>392</v>
      </c>
      <c r="D8" s="13" t="s">
        <v>378</v>
      </c>
      <c r="E8" s="13" t="s">
        <v>372</v>
      </c>
      <c r="F8" s="14" t="s">
        <v>373</v>
      </c>
      <c r="G8" s="15" t="n">
        <v>46295</v>
      </c>
      <c r="H8" s="13" t="s">
        <v>374</v>
      </c>
      <c r="I8" s="13" t="s">
        <v>81</v>
      </c>
      <c r="J8" s="16" t="s">
        <v>11</v>
      </c>
      <c r="K8" s="15" t="n">
        <v>46295</v>
      </c>
      <c r="L8" s="13"/>
    </row>
    <row r="9" customFormat="false" ht="23.85" hidden="false" customHeight="false" outlineLevel="0" collapsed="false">
      <c r="A9" s="13" t="s">
        <v>390</v>
      </c>
      <c r="B9" s="13" t="s">
        <v>393</v>
      </c>
      <c r="C9" s="13" t="s">
        <v>394</v>
      </c>
      <c r="D9" s="13" t="s">
        <v>378</v>
      </c>
      <c r="E9" s="13" t="s">
        <v>372</v>
      </c>
      <c r="F9" s="14" t="s">
        <v>373</v>
      </c>
      <c r="G9" s="15" t="n">
        <v>46295</v>
      </c>
      <c r="H9" s="13" t="s">
        <v>374</v>
      </c>
      <c r="I9" s="13" t="s">
        <v>81</v>
      </c>
      <c r="J9" s="16" t="s">
        <v>11</v>
      </c>
      <c r="K9" s="15" t="n">
        <v>46295</v>
      </c>
      <c r="L9" s="13"/>
    </row>
    <row r="10" customFormat="false" ht="23.85" hidden="false" customHeight="false" outlineLevel="0" collapsed="false">
      <c r="A10" s="13" t="s">
        <v>390</v>
      </c>
      <c r="B10" s="13" t="s">
        <v>395</v>
      </c>
      <c r="C10" s="13" t="s">
        <v>396</v>
      </c>
      <c r="D10" s="13" t="s">
        <v>378</v>
      </c>
      <c r="E10" s="13" t="s">
        <v>372</v>
      </c>
      <c r="F10" s="14" t="s">
        <v>373</v>
      </c>
      <c r="G10" s="15" t="n">
        <v>46295</v>
      </c>
      <c r="H10" s="13" t="s">
        <v>374</v>
      </c>
      <c r="I10" s="13" t="s">
        <v>81</v>
      </c>
      <c r="J10" s="16" t="s">
        <v>11</v>
      </c>
      <c r="K10" s="15" t="n">
        <v>46295</v>
      </c>
      <c r="L10" s="13"/>
    </row>
    <row r="11" customFormat="false" ht="23.85" hidden="false" customHeight="false" outlineLevel="0" collapsed="false">
      <c r="A11" s="13" t="s">
        <v>390</v>
      </c>
      <c r="B11" s="13" t="s">
        <v>397</v>
      </c>
      <c r="C11" s="13" t="s">
        <v>398</v>
      </c>
      <c r="D11" s="13" t="s">
        <v>378</v>
      </c>
      <c r="E11" s="13" t="s">
        <v>372</v>
      </c>
      <c r="F11" s="14" t="s">
        <v>373</v>
      </c>
      <c r="G11" s="15" t="n">
        <v>46295</v>
      </c>
      <c r="H11" s="13" t="s">
        <v>374</v>
      </c>
      <c r="I11" s="13" t="s">
        <v>81</v>
      </c>
      <c r="J11" s="16" t="s">
        <v>11</v>
      </c>
      <c r="K11" s="15" t="n">
        <v>46295</v>
      </c>
      <c r="L11" s="13"/>
    </row>
    <row r="12" customFormat="false" ht="23.85" hidden="false" customHeight="false" outlineLevel="0" collapsed="false">
      <c r="A12" s="13" t="s">
        <v>24</v>
      </c>
      <c r="B12" s="13" t="s">
        <v>24</v>
      </c>
      <c r="C12" s="13" t="s">
        <v>399</v>
      </c>
      <c r="D12" s="13" t="s">
        <v>378</v>
      </c>
      <c r="E12" s="13" t="s">
        <v>372</v>
      </c>
      <c r="F12" s="14" t="s">
        <v>373</v>
      </c>
      <c r="G12" s="15" t="n">
        <v>46295</v>
      </c>
      <c r="H12" s="13" t="s">
        <v>374</v>
      </c>
      <c r="I12" s="13" t="s">
        <v>81</v>
      </c>
      <c r="J12" s="16" t="s">
        <v>11</v>
      </c>
      <c r="K12" s="15" t="n">
        <v>46295</v>
      </c>
      <c r="L12" s="13" t="s">
        <v>400</v>
      </c>
    </row>
    <row r="13" customFormat="false" ht="35.05" hidden="false" customHeight="false" outlineLevel="0" collapsed="false">
      <c r="A13" s="13" t="s">
        <v>401</v>
      </c>
      <c r="B13" s="13" t="s">
        <v>263</v>
      </c>
      <c r="C13" s="13" t="s">
        <v>402</v>
      </c>
      <c r="D13" s="13" t="s">
        <v>378</v>
      </c>
      <c r="E13" s="13" t="s">
        <v>372</v>
      </c>
      <c r="F13" s="14" t="s">
        <v>373</v>
      </c>
      <c r="G13" s="15" t="n">
        <v>46295</v>
      </c>
      <c r="H13" s="13" t="s">
        <v>374</v>
      </c>
      <c r="I13" s="13" t="s">
        <v>81</v>
      </c>
      <c r="J13" s="16" t="s">
        <v>11</v>
      </c>
      <c r="K13" s="15" t="n">
        <v>46295</v>
      </c>
      <c r="L13" s="13"/>
    </row>
    <row r="14" customFormat="false" ht="35.05" hidden="false" customHeight="false" outlineLevel="0" collapsed="false">
      <c r="A14" s="13" t="s">
        <v>401</v>
      </c>
      <c r="B14" s="13" t="s">
        <v>265</v>
      </c>
      <c r="C14" s="13" t="s">
        <v>403</v>
      </c>
      <c r="D14" s="13" t="s">
        <v>378</v>
      </c>
      <c r="E14" s="13" t="s">
        <v>372</v>
      </c>
      <c r="F14" s="14" t="s">
        <v>373</v>
      </c>
      <c r="G14" s="15" t="n">
        <v>46295</v>
      </c>
      <c r="H14" s="13" t="s">
        <v>374</v>
      </c>
      <c r="I14" s="13" t="s">
        <v>81</v>
      </c>
      <c r="J14" s="18" t="s">
        <v>15</v>
      </c>
      <c r="K14" s="15" t="n">
        <v>46295</v>
      </c>
      <c r="L14" s="13" t="s">
        <v>404</v>
      </c>
    </row>
    <row r="15" customFormat="false" ht="35.05" hidden="false" customHeight="false" outlineLevel="0" collapsed="false">
      <c r="A15" s="13" t="s">
        <v>192</v>
      </c>
      <c r="B15" s="13" t="s">
        <v>405</v>
      </c>
      <c r="C15" s="13" t="s">
        <v>406</v>
      </c>
      <c r="D15" s="13" t="s">
        <v>378</v>
      </c>
      <c r="E15" s="13" t="s">
        <v>372</v>
      </c>
      <c r="F15" s="14" t="s">
        <v>373</v>
      </c>
      <c r="G15" s="15" t="n">
        <v>46295</v>
      </c>
      <c r="H15" s="13" t="s">
        <v>374</v>
      </c>
      <c r="I15" s="13" t="s">
        <v>81</v>
      </c>
      <c r="J15" s="16" t="s">
        <v>11</v>
      </c>
      <c r="K15" s="15" t="n">
        <v>46295</v>
      </c>
      <c r="L15" s="13"/>
    </row>
    <row r="16" customFormat="false" ht="35.05" hidden="false" customHeight="false" outlineLevel="0" collapsed="false">
      <c r="A16" s="13" t="s">
        <v>407</v>
      </c>
      <c r="B16" s="13" t="s">
        <v>408</v>
      </c>
      <c r="C16" s="13" t="s">
        <v>409</v>
      </c>
      <c r="D16" s="13" t="s">
        <v>378</v>
      </c>
      <c r="E16" s="13" t="s">
        <v>372</v>
      </c>
      <c r="F16" s="14" t="s">
        <v>373</v>
      </c>
      <c r="G16" s="15" t="n">
        <v>46295</v>
      </c>
      <c r="H16" s="13" t="s">
        <v>374</v>
      </c>
      <c r="I16" s="13" t="s">
        <v>81</v>
      </c>
      <c r="J16" s="16" t="s">
        <v>11</v>
      </c>
      <c r="K16" s="15" t="n">
        <v>46295</v>
      </c>
      <c r="L16" s="13" t="s">
        <v>410</v>
      </c>
    </row>
    <row r="17" customFormat="false" ht="23.85" hidden="false" customHeight="false" outlineLevel="0" collapsed="false">
      <c r="A17" s="13" t="s">
        <v>407</v>
      </c>
      <c r="B17" s="13" t="s">
        <v>411</v>
      </c>
      <c r="C17" s="13" t="s">
        <v>412</v>
      </c>
      <c r="D17" s="13" t="s">
        <v>378</v>
      </c>
      <c r="E17" s="13" t="s">
        <v>372</v>
      </c>
      <c r="F17" s="14" t="s">
        <v>373</v>
      </c>
      <c r="G17" s="15" t="n">
        <v>46295</v>
      </c>
      <c r="H17" s="13" t="s">
        <v>374</v>
      </c>
      <c r="I17" s="13" t="s">
        <v>81</v>
      </c>
      <c r="J17" s="16" t="s">
        <v>11</v>
      </c>
      <c r="K17" s="15" t="n">
        <v>46295</v>
      </c>
      <c r="L17" s="13"/>
    </row>
    <row r="18" customFormat="false" ht="23.85" hidden="false" customHeight="false" outlineLevel="0" collapsed="false">
      <c r="A18" s="13" t="s">
        <v>407</v>
      </c>
      <c r="B18" s="13" t="s">
        <v>413</v>
      </c>
      <c r="C18" s="13" t="s">
        <v>414</v>
      </c>
      <c r="D18" s="13" t="s">
        <v>378</v>
      </c>
      <c r="E18" s="13" t="s">
        <v>372</v>
      </c>
      <c r="F18" s="14" t="s">
        <v>373</v>
      </c>
      <c r="G18" s="15" t="n">
        <v>46295</v>
      </c>
      <c r="H18" s="13" t="s">
        <v>374</v>
      </c>
      <c r="I18" s="13" t="s">
        <v>81</v>
      </c>
      <c r="J18" s="16" t="s">
        <v>11</v>
      </c>
      <c r="K18" s="15" t="n">
        <v>46295</v>
      </c>
      <c r="L18" s="13"/>
    </row>
    <row r="19" customFormat="false" ht="23.85" hidden="false" customHeight="false" outlineLevel="0" collapsed="false">
      <c r="A19" s="13" t="s">
        <v>415</v>
      </c>
      <c r="B19" s="13" t="s">
        <v>416</v>
      </c>
      <c r="C19" s="13" t="s">
        <v>417</v>
      </c>
      <c r="D19" s="13" t="s">
        <v>378</v>
      </c>
      <c r="E19" s="13" t="s">
        <v>372</v>
      </c>
      <c r="F19" s="14" t="s">
        <v>373</v>
      </c>
      <c r="G19" s="15" t="n">
        <v>46295</v>
      </c>
      <c r="H19" s="13" t="s">
        <v>374</v>
      </c>
      <c r="I19" s="13" t="s">
        <v>81</v>
      </c>
      <c r="J19" s="16" t="s">
        <v>11</v>
      </c>
      <c r="K19" s="15" t="n">
        <v>46295</v>
      </c>
      <c r="L19" s="13"/>
    </row>
  </sheetData>
  <autoFilter ref="A1:L19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www.tdi.texas.gov/pubs/consumer/cb020.html"/>
    <hyperlink ref="F3" r:id="rId2" display="https://www.tdi.texas.gov/pubs/consumer/cb020.html"/>
    <hyperlink ref="F4" r:id="rId3" display="https://www.ashmorelaw.com/blog/car-insurance-do-you-have-enough-.cfm"/>
    <hyperlink ref="F5" r:id="rId4" display="https://www.tdi.texas.gov/pubs/consumer/cb020.html"/>
    <hyperlink ref="F6" r:id="rId5" display="https://www.tdi.texas.gov/pubs/consumer/cb020.html"/>
    <hyperlink ref="F7" r:id="rId6" display="https://www.tdi.texas.gov/pubs/consumer/cb020.html"/>
    <hyperlink ref="F8" r:id="rId7" display="https://www.tdi.texas.gov/pubs/consumer/cb020.html"/>
    <hyperlink ref="F9" r:id="rId8" display="https://www.tdi.texas.gov/pubs/consumer/cb020.html"/>
    <hyperlink ref="F10" r:id="rId9" display="https://www.tdi.texas.gov/pubs/consumer/cb020.html"/>
    <hyperlink ref="F11" r:id="rId10" display="https://www.tdi.texas.gov/pubs/consumer/cb020.html"/>
    <hyperlink ref="F12" r:id="rId11" display="https://www.tdi.texas.gov/pubs/consumer/cb020.html"/>
    <hyperlink ref="F13" r:id="rId12" display="https://www.tdi.texas.gov/pubs/consumer/cb020.html"/>
    <hyperlink ref="F14" r:id="rId13" display="https://www.tdi.texas.gov/pubs/consumer/cb020.html"/>
    <hyperlink ref="F15" r:id="rId14" display="https://www.tdi.texas.gov/pubs/consumer/cb020.html"/>
    <hyperlink ref="F16" r:id="rId15" display="https://www.tdi.texas.gov/pubs/consumer/cb020.html"/>
    <hyperlink ref="F17" r:id="rId16" display="https://www.tdi.texas.gov/pubs/consumer/cb020.html"/>
    <hyperlink ref="F18" r:id="rId17" display="https://www.tdi.texas.gov/pubs/consumer/cb020.html"/>
    <hyperlink ref="F19" r:id="rId18" display="https://www.tdi.texas.gov/pubs/consumer/cb020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0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206</v>
      </c>
      <c r="B2" s="13" t="s">
        <v>418</v>
      </c>
      <c r="C2" s="13" t="s">
        <v>419</v>
      </c>
      <c r="D2" s="13" t="s">
        <v>420</v>
      </c>
      <c r="E2" s="13" t="s">
        <v>421</v>
      </c>
      <c r="F2" s="14" t="s">
        <v>422</v>
      </c>
      <c r="G2" s="15" t="n">
        <v>46295</v>
      </c>
      <c r="H2" s="13" t="s">
        <v>423</v>
      </c>
      <c r="I2" s="13" t="s">
        <v>81</v>
      </c>
      <c r="J2" s="16" t="s">
        <v>11</v>
      </c>
      <c r="K2" s="15" t="n">
        <v>46295</v>
      </c>
      <c r="L2" s="13"/>
    </row>
    <row r="3" customFormat="false" ht="23.85" hidden="false" customHeight="false" outlineLevel="0" collapsed="false">
      <c r="A3" s="13" t="s">
        <v>206</v>
      </c>
      <c r="B3" s="13" t="s">
        <v>424</v>
      </c>
      <c r="C3" s="13" t="s">
        <v>425</v>
      </c>
      <c r="D3" s="13" t="s">
        <v>426</v>
      </c>
      <c r="E3" s="13" t="s">
        <v>421</v>
      </c>
      <c r="F3" s="14" t="s">
        <v>422</v>
      </c>
      <c r="G3" s="15" t="n">
        <v>46295</v>
      </c>
      <c r="H3" s="13" t="s">
        <v>423</v>
      </c>
      <c r="I3" s="13" t="s">
        <v>81</v>
      </c>
      <c r="J3" s="16" t="s">
        <v>11</v>
      </c>
      <c r="K3" s="15" t="n">
        <v>46295</v>
      </c>
      <c r="L3" s="13"/>
    </row>
    <row r="4" customFormat="false" ht="23.85" hidden="false" customHeight="false" outlineLevel="0" collapsed="false">
      <c r="A4" s="13" t="s">
        <v>206</v>
      </c>
      <c r="B4" s="13" t="s">
        <v>427</v>
      </c>
      <c r="C4" s="13" t="s">
        <v>428</v>
      </c>
      <c r="D4" s="13" t="s">
        <v>426</v>
      </c>
      <c r="E4" s="13" t="s">
        <v>421</v>
      </c>
      <c r="F4" s="14" t="s">
        <v>422</v>
      </c>
      <c r="G4" s="15" t="n">
        <v>46295</v>
      </c>
      <c r="H4" s="13" t="s">
        <v>423</v>
      </c>
      <c r="I4" s="13" t="s">
        <v>81</v>
      </c>
      <c r="J4" s="16" t="s">
        <v>11</v>
      </c>
      <c r="K4" s="15" t="n">
        <v>46295</v>
      </c>
      <c r="L4" s="13"/>
    </row>
    <row r="5" customFormat="false" ht="23.85" hidden="false" customHeight="false" outlineLevel="0" collapsed="false">
      <c r="A5" s="13" t="s">
        <v>206</v>
      </c>
      <c r="B5" s="13" t="s">
        <v>429</v>
      </c>
      <c r="C5" s="13" t="s">
        <v>430</v>
      </c>
      <c r="D5" s="13" t="s">
        <v>426</v>
      </c>
      <c r="E5" s="13" t="s">
        <v>421</v>
      </c>
      <c r="F5" s="14" t="s">
        <v>422</v>
      </c>
      <c r="G5" s="15" t="n">
        <v>46295</v>
      </c>
      <c r="H5" s="13" t="s">
        <v>423</v>
      </c>
      <c r="I5" s="13" t="s">
        <v>81</v>
      </c>
      <c r="J5" s="16" t="s">
        <v>11</v>
      </c>
      <c r="K5" s="15" t="n">
        <v>46295</v>
      </c>
      <c r="L5" s="13"/>
    </row>
    <row r="6" customFormat="false" ht="23.85" hidden="false" customHeight="false" outlineLevel="0" collapsed="false">
      <c r="A6" s="13" t="s">
        <v>431</v>
      </c>
      <c r="B6" s="13" t="s">
        <v>432</v>
      </c>
      <c r="C6" s="13" t="s">
        <v>433</v>
      </c>
      <c r="D6" s="13" t="s">
        <v>426</v>
      </c>
      <c r="E6" s="13" t="s">
        <v>421</v>
      </c>
      <c r="F6" s="14" t="s">
        <v>422</v>
      </c>
      <c r="G6" s="15" t="n">
        <v>46295</v>
      </c>
      <c r="H6" s="13" t="s">
        <v>423</v>
      </c>
      <c r="I6" s="13" t="s">
        <v>81</v>
      </c>
      <c r="J6" s="16" t="s">
        <v>11</v>
      </c>
      <c r="K6" s="15" t="n">
        <v>46295</v>
      </c>
      <c r="L6" s="13"/>
    </row>
    <row r="7" customFormat="false" ht="23.85" hidden="false" customHeight="false" outlineLevel="0" collapsed="false">
      <c r="A7" s="13" t="s">
        <v>107</v>
      </c>
      <c r="B7" s="13" t="s">
        <v>434</v>
      </c>
      <c r="C7" s="13" t="s">
        <v>435</v>
      </c>
      <c r="D7" s="13" t="s">
        <v>436</v>
      </c>
      <c r="E7" s="13" t="s">
        <v>437</v>
      </c>
      <c r="F7" s="14" t="s">
        <v>438</v>
      </c>
      <c r="G7" s="15" t="n">
        <v>46295</v>
      </c>
      <c r="H7" s="13" t="s">
        <v>423</v>
      </c>
      <c r="I7" s="13" t="s">
        <v>105</v>
      </c>
      <c r="J7" s="16" t="s">
        <v>11</v>
      </c>
      <c r="K7" s="15" t="n">
        <v>46295</v>
      </c>
      <c r="L7" s="13" t="s">
        <v>439</v>
      </c>
    </row>
    <row r="8" customFormat="false" ht="23.85" hidden="false" customHeight="false" outlineLevel="0" collapsed="false">
      <c r="A8" s="13" t="s">
        <v>107</v>
      </c>
      <c r="B8" s="13" t="s">
        <v>440</v>
      </c>
      <c r="C8" s="13" t="s">
        <v>441</v>
      </c>
      <c r="D8" s="13" t="s">
        <v>442</v>
      </c>
      <c r="E8" s="13" t="s">
        <v>443</v>
      </c>
      <c r="F8" s="14" t="s">
        <v>444</v>
      </c>
      <c r="G8" s="15" t="n">
        <v>46295</v>
      </c>
      <c r="H8" s="13" t="s">
        <v>423</v>
      </c>
      <c r="I8" s="13" t="s">
        <v>98</v>
      </c>
      <c r="J8" s="17" t="s">
        <v>13</v>
      </c>
      <c r="K8" s="15" t="n">
        <v>46295</v>
      </c>
      <c r="L8" s="13" t="s">
        <v>445</v>
      </c>
    </row>
    <row r="9" customFormat="false" ht="23.85" hidden="false" customHeight="false" outlineLevel="0" collapsed="false">
      <c r="A9" s="13" t="s">
        <v>446</v>
      </c>
      <c r="B9" s="13" t="s">
        <v>447</v>
      </c>
      <c r="C9" s="13" t="s">
        <v>448</v>
      </c>
      <c r="D9" s="13" t="s">
        <v>449</v>
      </c>
      <c r="E9" s="13" t="s">
        <v>443</v>
      </c>
      <c r="F9" s="14" t="s">
        <v>444</v>
      </c>
      <c r="G9" s="15" t="n">
        <v>46295</v>
      </c>
      <c r="H9" s="13" t="s">
        <v>423</v>
      </c>
      <c r="I9" s="13" t="s">
        <v>98</v>
      </c>
      <c r="J9" s="17" t="s">
        <v>13</v>
      </c>
      <c r="K9" s="15" t="n">
        <v>46295</v>
      </c>
      <c r="L9" s="13" t="s">
        <v>450</v>
      </c>
    </row>
    <row r="10" customFormat="false" ht="23.85" hidden="false" customHeight="false" outlineLevel="0" collapsed="false">
      <c r="A10" s="13" t="s">
        <v>451</v>
      </c>
      <c r="B10" s="13" t="s">
        <v>452</v>
      </c>
      <c r="C10" s="13" t="s">
        <v>453</v>
      </c>
      <c r="D10" s="13" t="s">
        <v>454</v>
      </c>
      <c r="E10" s="13" t="s">
        <v>443</v>
      </c>
      <c r="F10" s="14" t="s">
        <v>444</v>
      </c>
      <c r="G10" s="15" t="n">
        <v>46295</v>
      </c>
      <c r="H10" s="13" t="s">
        <v>423</v>
      </c>
      <c r="I10" s="13" t="s">
        <v>98</v>
      </c>
      <c r="J10" s="17" t="s">
        <v>13</v>
      </c>
      <c r="K10" s="15" t="n">
        <v>46295</v>
      </c>
      <c r="L10" s="13" t="s">
        <v>455</v>
      </c>
    </row>
    <row r="11" customFormat="false" ht="35.05" hidden="false" customHeight="false" outlineLevel="0" collapsed="false">
      <c r="A11" s="13" t="s">
        <v>401</v>
      </c>
      <c r="B11" s="13" t="s">
        <v>263</v>
      </c>
      <c r="C11" s="13" t="s">
        <v>456</v>
      </c>
      <c r="D11" s="13" t="s">
        <v>457</v>
      </c>
      <c r="E11" s="13" t="s">
        <v>458</v>
      </c>
      <c r="F11" s="14" t="s">
        <v>459</v>
      </c>
      <c r="G11" s="15" t="n">
        <v>46295</v>
      </c>
      <c r="H11" s="13" t="s">
        <v>423</v>
      </c>
      <c r="I11" s="13" t="s">
        <v>105</v>
      </c>
      <c r="J11" s="16" t="s">
        <v>11</v>
      </c>
      <c r="K11" s="15" t="n">
        <v>46295</v>
      </c>
      <c r="L11" s="13" t="s">
        <v>460</v>
      </c>
    </row>
    <row r="12" customFormat="false" ht="57.45" hidden="false" customHeight="false" outlineLevel="0" collapsed="false">
      <c r="A12" s="13" t="s">
        <v>390</v>
      </c>
      <c r="B12" s="13" t="s">
        <v>461</v>
      </c>
      <c r="C12" s="13" t="s">
        <v>462</v>
      </c>
      <c r="D12" s="13" t="s">
        <v>463</v>
      </c>
      <c r="E12" s="13" t="s">
        <v>464</v>
      </c>
      <c r="F12" s="14" t="s">
        <v>465</v>
      </c>
      <c r="G12" s="15" t="n">
        <v>46295</v>
      </c>
      <c r="H12" s="13" t="s">
        <v>423</v>
      </c>
      <c r="I12" s="13" t="s">
        <v>105</v>
      </c>
      <c r="J12" s="16" t="s">
        <v>11</v>
      </c>
      <c r="K12" s="15" t="n">
        <v>46295</v>
      </c>
      <c r="L12" s="13" t="s">
        <v>466</v>
      </c>
    </row>
    <row r="13" customFormat="false" ht="35.05" hidden="false" customHeight="false" outlineLevel="0" collapsed="false">
      <c r="A13" s="13" t="s">
        <v>24</v>
      </c>
      <c r="B13" s="13" t="s">
        <v>467</v>
      </c>
      <c r="C13" s="13" t="s">
        <v>468</v>
      </c>
      <c r="D13" s="13" t="s">
        <v>469</v>
      </c>
      <c r="E13" s="13" t="s">
        <v>470</v>
      </c>
      <c r="F13" s="14" t="s">
        <v>471</v>
      </c>
      <c r="G13" s="15" t="n">
        <v>46295</v>
      </c>
      <c r="H13" s="13" t="s">
        <v>423</v>
      </c>
      <c r="I13" s="13" t="s">
        <v>105</v>
      </c>
      <c r="J13" s="17" t="s">
        <v>13</v>
      </c>
      <c r="K13" s="15" t="n">
        <v>46295</v>
      </c>
      <c r="L13" s="13" t="s">
        <v>472</v>
      </c>
    </row>
    <row r="14" customFormat="false" ht="23.85" hidden="false" customHeight="false" outlineLevel="0" collapsed="false">
      <c r="A14" s="13" t="s">
        <v>257</v>
      </c>
      <c r="B14" s="13" t="s">
        <v>473</v>
      </c>
      <c r="C14" s="13" t="s">
        <v>474</v>
      </c>
      <c r="D14" s="13" t="s">
        <v>475</v>
      </c>
      <c r="E14" s="13" t="s">
        <v>470</v>
      </c>
      <c r="F14" s="14" t="s">
        <v>471</v>
      </c>
      <c r="G14" s="15" t="n">
        <v>46295</v>
      </c>
      <c r="H14" s="13" t="s">
        <v>423</v>
      </c>
      <c r="I14" s="13" t="s">
        <v>105</v>
      </c>
      <c r="J14" s="19" t="s">
        <v>17</v>
      </c>
      <c r="K14" s="15" t="n">
        <v>46295</v>
      </c>
      <c r="L14" s="13" t="s">
        <v>476</v>
      </c>
    </row>
  </sheetData>
  <autoFilter ref="A1:L14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www.flhsmv.gov/insurance/"/>
    <hyperlink ref="F3" r:id="rId2" display="https://www.flhsmv.gov/insurance/"/>
    <hyperlink ref="F4" r:id="rId3" display="https://www.flhsmv.gov/insurance/"/>
    <hyperlink ref="F5" r:id="rId4" display="https://www.flhsmv.gov/insurance/"/>
    <hyperlink ref="F6" r:id="rId5" display="https://www.flhsmv.gov/insurance/"/>
    <hyperlink ref="F7" r:id="rId6" display="https://www.flsenate.gov/Laws/Statutes/2022/Chapter324/All"/>
    <hyperlink ref="F8" r:id="rId7" display="https://www.vilesandbeckman.com/blog/did-florida-repeal-no-fault-insurance-the-pip-myths-and-the-facts-for-2026/"/>
    <hyperlink ref="F9" r:id="rId8" display="https://www.vilesandbeckman.com/blog/did-florida-repeal-no-fault-insurance-the-pip-myths-and-the-facts-for-2026/"/>
    <hyperlink ref="F10" r:id="rId9" display="https://www.vilesandbeckman.com/blog/did-florida-repeal-no-fault-insurance-the-pip-myths-and-the-facts-for-2026/"/>
    <hyperlink ref="F11" r:id="rId10" display="https://law.justia.com/codes/florida/title-xxxvii/chapter-627/part-xi/section-627-728/"/>
    <hyperlink ref="F12" r:id="rId11" display="https://www.flsenate.gov/Laws/Statutes/2025/0626.9741"/>
    <hyperlink ref="F13" r:id="rId12" display="https://www.flsenate.gov/Laws/Statutes/2025/Chapter627/All"/>
    <hyperlink ref="F14" r:id="rId13" display="https://www.flsenate.gov/Laws/Statutes/2025/Chapter627/Al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0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74</v>
      </c>
      <c r="B2" s="13" t="s">
        <v>477</v>
      </c>
      <c r="C2" s="13" t="s">
        <v>478</v>
      </c>
      <c r="D2" s="13" t="s">
        <v>479</v>
      </c>
      <c r="E2" s="13" t="s">
        <v>480</v>
      </c>
      <c r="F2" s="14" t="s">
        <v>481</v>
      </c>
      <c r="G2" s="15" t="n">
        <v>46295</v>
      </c>
      <c r="H2" s="13" t="s">
        <v>482</v>
      </c>
      <c r="I2" s="13" t="s">
        <v>81</v>
      </c>
      <c r="J2" s="16" t="s">
        <v>11</v>
      </c>
      <c r="K2" s="15" t="n">
        <v>46295</v>
      </c>
      <c r="L2" s="13"/>
    </row>
    <row r="3" customFormat="false" ht="23.85" hidden="false" customHeight="false" outlineLevel="0" collapsed="false">
      <c r="A3" s="13" t="s">
        <v>74</v>
      </c>
      <c r="B3" s="13" t="s">
        <v>85</v>
      </c>
      <c r="C3" s="13" t="s">
        <v>483</v>
      </c>
      <c r="D3" s="13" t="s">
        <v>484</v>
      </c>
      <c r="E3" s="13" t="s">
        <v>480</v>
      </c>
      <c r="F3" s="14" t="s">
        <v>481</v>
      </c>
      <c r="G3" s="15" t="n">
        <v>46295</v>
      </c>
      <c r="H3" s="13" t="s">
        <v>482</v>
      </c>
      <c r="I3" s="13" t="s">
        <v>81</v>
      </c>
      <c r="J3" s="16" t="s">
        <v>11</v>
      </c>
      <c r="K3" s="15" t="n">
        <v>46295</v>
      </c>
      <c r="L3" s="13"/>
    </row>
    <row r="4" customFormat="false" ht="35.05" hidden="false" customHeight="false" outlineLevel="0" collapsed="false">
      <c r="A4" s="13" t="s">
        <v>446</v>
      </c>
      <c r="B4" s="13" t="s">
        <v>485</v>
      </c>
      <c r="C4" s="13" t="s">
        <v>486</v>
      </c>
      <c r="D4" s="13" t="s">
        <v>484</v>
      </c>
      <c r="E4" s="13" t="s">
        <v>480</v>
      </c>
      <c r="F4" s="14" t="s">
        <v>481</v>
      </c>
      <c r="G4" s="15" t="n">
        <v>46295</v>
      </c>
      <c r="H4" s="13" t="s">
        <v>482</v>
      </c>
      <c r="I4" s="13" t="s">
        <v>81</v>
      </c>
      <c r="J4" s="16" t="s">
        <v>11</v>
      </c>
      <c r="K4" s="15" t="n">
        <v>46295</v>
      </c>
      <c r="L4" s="13"/>
    </row>
    <row r="5" customFormat="false" ht="23.85" hidden="false" customHeight="false" outlineLevel="0" collapsed="false">
      <c r="A5" s="13" t="s">
        <v>446</v>
      </c>
      <c r="B5" s="13" t="s">
        <v>487</v>
      </c>
      <c r="C5" s="13" t="s">
        <v>488</v>
      </c>
      <c r="D5" s="13" t="s">
        <v>484</v>
      </c>
      <c r="E5" s="13" t="s">
        <v>480</v>
      </c>
      <c r="F5" s="14" t="s">
        <v>481</v>
      </c>
      <c r="G5" s="15" t="n">
        <v>46295</v>
      </c>
      <c r="H5" s="13" t="s">
        <v>482</v>
      </c>
      <c r="I5" s="13" t="s">
        <v>81</v>
      </c>
      <c r="J5" s="16" t="s">
        <v>11</v>
      </c>
      <c r="K5" s="15" t="n">
        <v>46295</v>
      </c>
      <c r="L5" s="13"/>
    </row>
    <row r="6" customFormat="false" ht="23.85" hidden="false" customHeight="false" outlineLevel="0" collapsed="false">
      <c r="A6" s="13" t="s">
        <v>446</v>
      </c>
      <c r="B6" s="13" t="s">
        <v>489</v>
      </c>
      <c r="C6" s="13" t="s">
        <v>490</v>
      </c>
      <c r="D6" s="13" t="s">
        <v>484</v>
      </c>
      <c r="E6" s="13" t="s">
        <v>480</v>
      </c>
      <c r="F6" s="14" t="s">
        <v>481</v>
      </c>
      <c r="G6" s="15" t="n">
        <v>46295</v>
      </c>
      <c r="H6" s="13" t="s">
        <v>482</v>
      </c>
      <c r="I6" s="13" t="s">
        <v>81</v>
      </c>
      <c r="J6" s="16" t="s">
        <v>11</v>
      </c>
      <c r="K6" s="15" t="n">
        <v>46295</v>
      </c>
      <c r="L6" s="13"/>
    </row>
    <row r="7" customFormat="false" ht="23.85" hidden="false" customHeight="false" outlineLevel="0" collapsed="false">
      <c r="A7" s="13" t="s">
        <v>446</v>
      </c>
      <c r="B7" s="13" t="s">
        <v>491</v>
      </c>
      <c r="C7" s="13" t="s">
        <v>492</v>
      </c>
      <c r="D7" s="13" t="s">
        <v>484</v>
      </c>
      <c r="E7" s="13" t="s">
        <v>480</v>
      </c>
      <c r="F7" s="14" t="s">
        <v>481</v>
      </c>
      <c r="G7" s="15" t="n">
        <v>46295</v>
      </c>
      <c r="H7" s="13" t="s">
        <v>482</v>
      </c>
      <c r="I7" s="13" t="s">
        <v>81</v>
      </c>
      <c r="J7" s="16" t="s">
        <v>11</v>
      </c>
      <c r="K7" s="15" t="n">
        <v>46295</v>
      </c>
      <c r="L7" s="13"/>
    </row>
    <row r="8" customFormat="false" ht="23.85" hidden="false" customHeight="false" outlineLevel="0" collapsed="false">
      <c r="A8" s="13" t="s">
        <v>493</v>
      </c>
      <c r="B8" s="13" t="s">
        <v>494</v>
      </c>
      <c r="C8" s="13" t="s">
        <v>495</v>
      </c>
      <c r="D8" s="13" t="s">
        <v>484</v>
      </c>
      <c r="E8" s="13" t="s">
        <v>480</v>
      </c>
      <c r="F8" s="14" t="s">
        <v>481</v>
      </c>
      <c r="G8" s="15" t="n">
        <v>46295</v>
      </c>
      <c r="H8" s="13" t="s">
        <v>482</v>
      </c>
      <c r="I8" s="13" t="s">
        <v>81</v>
      </c>
      <c r="J8" s="16" t="s">
        <v>11</v>
      </c>
      <c r="K8" s="15" t="n">
        <v>46295</v>
      </c>
      <c r="L8" s="13"/>
    </row>
    <row r="9" customFormat="false" ht="35.05" hidden="false" customHeight="false" outlineLevel="0" collapsed="false">
      <c r="A9" s="13" t="s">
        <v>493</v>
      </c>
      <c r="B9" s="13" t="s">
        <v>496</v>
      </c>
      <c r="C9" s="13" t="s">
        <v>497</v>
      </c>
      <c r="D9" s="13" t="s">
        <v>498</v>
      </c>
      <c r="E9" s="13" t="s">
        <v>499</v>
      </c>
      <c r="F9" s="14" t="s">
        <v>500</v>
      </c>
      <c r="G9" s="15" t="n">
        <v>46295</v>
      </c>
      <c r="H9" s="13" t="s">
        <v>482</v>
      </c>
      <c r="I9" s="13" t="s">
        <v>81</v>
      </c>
      <c r="J9" s="16" t="s">
        <v>11</v>
      </c>
      <c r="K9" s="15" t="n">
        <v>46295</v>
      </c>
      <c r="L9" s="13"/>
    </row>
    <row r="10" customFormat="false" ht="23.85" hidden="false" customHeight="false" outlineLevel="0" collapsed="false">
      <c r="A10" s="13" t="s">
        <v>501</v>
      </c>
      <c r="B10" s="13" t="s">
        <v>502</v>
      </c>
      <c r="C10" s="13" t="s">
        <v>503</v>
      </c>
      <c r="D10" s="13" t="s">
        <v>484</v>
      </c>
      <c r="E10" s="13" t="s">
        <v>480</v>
      </c>
      <c r="F10" s="14" t="s">
        <v>481</v>
      </c>
      <c r="G10" s="15" t="n">
        <v>46295</v>
      </c>
      <c r="H10" s="13" t="s">
        <v>482</v>
      </c>
      <c r="I10" s="13" t="s">
        <v>81</v>
      </c>
      <c r="J10" s="16" t="s">
        <v>11</v>
      </c>
      <c r="K10" s="15" t="n">
        <v>46295</v>
      </c>
      <c r="L10" s="13"/>
    </row>
    <row r="11" customFormat="false" ht="23.85" hidden="false" customHeight="false" outlineLevel="0" collapsed="false">
      <c r="A11" s="13" t="s">
        <v>504</v>
      </c>
      <c r="B11" s="13" t="s">
        <v>505</v>
      </c>
      <c r="C11" s="13" t="s">
        <v>506</v>
      </c>
      <c r="D11" s="13" t="s">
        <v>507</v>
      </c>
      <c r="E11" s="13" t="s">
        <v>480</v>
      </c>
      <c r="F11" s="14" t="s">
        <v>481</v>
      </c>
      <c r="G11" s="15" t="n">
        <v>46295</v>
      </c>
      <c r="H11" s="13" t="s">
        <v>482</v>
      </c>
      <c r="I11" s="13" t="s">
        <v>81</v>
      </c>
      <c r="J11" s="16" t="s">
        <v>11</v>
      </c>
      <c r="K11" s="15" t="n">
        <v>46295</v>
      </c>
      <c r="L11" s="13"/>
    </row>
    <row r="12" customFormat="false" ht="23.85" hidden="false" customHeight="false" outlineLevel="0" collapsed="false">
      <c r="A12" s="13" t="s">
        <v>390</v>
      </c>
      <c r="B12" s="13" t="s">
        <v>508</v>
      </c>
      <c r="C12" s="13" t="s">
        <v>509</v>
      </c>
      <c r="D12" s="13" t="s">
        <v>484</v>
      </c>
      <c r="E12" s="13" t="s">
        <v>480</v>
      </c>
      <c r="F12" s="14" t="s">
        <v>481</v>
      </c>
      <c r="G12" s="15" t="n">
        <v>46295</v>
      </c>
      <c r="H12" s="13" t="s">
        <v>482</v>
      </c>
      <c r="I12" s="13" t="s">
        <v>81</v>
      </c>
      <c r="J12" s="16" t="s">
        <v>11</v>
      </c>
      <c r="K12" s="15" t="n">
        <v>46295</v>
      </c>
      <c r="L12" s="13"/>
    </row>
    <row r="13" customFormat="false" ht="35.05" hidden="false" customHeight="false" outlineLevel="0" collapsed="false">
      <c r="A13" s="13" t="s">
        <v>390</v>
      </c>
      <c r="B13" s="13" t="s">
        <v>510</v>
      </c>
      <c r="C13" s="13" t="s">
        <v>511</v>
      </c>
      <c r="D13" s="13" t="s">
        <v>484</v>
      </c>
      <c r="E13" s="13" t="s">
        <v>480</v>
      </c>
      <c r="F13" s="14" t="s">
        <v>481</v>
      </c>
      <c r="G13" s="15" t="n">
        <v>46295</v>
      </c>
      <c r="H13" s="13" t="s">
        <v>482</v>
      </c>
      <c r="I13" s="13" t="s">
        <v>81</v>
      </c>
      <c r="J13" s="16" t="s">
        <v>11</v>
      </c>
      <c r="K13" s="15" t="n">
        <v>46295</v>
      </c>
      <c r="L13" s="13" t="s">
        <v>512</v>
      </c>
    </row>
    <row r="14" customFormat="false" ht="35.05" hidden="false" customHeight="false" outlineLevel="0" collapsed="false">
      <c r="A14" s="13" t="s">
        <v>390</v>
      </c>
      <c r="B14" s="13" t="s">
        <v>461</v>
      </c>
      <c r="C14" s="13" t="s">
        <v>513</v>
      </c>
      <c r="D14" s="13" t="s">
        <v>484</v>
      </c>
      <c r="E14" s="13" t="s">
        <v>480</v>
      </c>
      <c r="F14" s="14" t="s">
        <v>481</v>
      </c>
      <c r="G14" s="15" t="n">
        <v>46295</v>
      </c>
      <c r="H14" s="13" t="s">
        <v>482</v>
      </c>
      <c r="I14" s="13" t="s">
        <v>81</v>
      </c>
      <c r="J14" s="16" t="s">
        <v>11</v>
      </c>
      <c r="K14" s="15" t="n">
        <v>46295</v>
      </c>
      <c r="L14" s="13"/>
    </row>
    <row r="15" customFormat="false" ht="35.05" hidden="false" customHeight="false" outlineLevel="0" collapsed="false">
      <c r="A15" s="13" t="s">
        <v>390</v>
      </c>
      <c r="B15" s="13" t="s">
        <v>514</v>
      </c>
      <c r="C15" s="13" t="s">
        <v>515</v>
      </c>
      <c r="D15" s="13" t="s">
        <v>484</v>
      </c>
      <c r="E15" s="13" t="s">
        <v>480</v>
      </c>
      <c r="F15" s="14" t="s">
        <v>481</v>
      </c>
      <c r="G15" s="15" t="n">
        <v>46295</v>
      </c>
      <c r="H15" s="13" t="s">
        <v>482</v>
      </c>
      <c r="I15" s="13" t="s">
        <v>81</v>
      </c>
      <c r="J15" s="16" t="s">
        <v>11</v>
      </c>
      <c r="K15" s="15" t="n">
        <v>46295</v>
      </c>
      <c r="L15" s="13"/>
    </row>
    <row r="16" customFormat="false" ht="23.85" hidden="false" customHeight="false" outlineLevel="0" collapsed="false">
      <c r="A16" s="13" t="s">
        <v>24</v>
      </c>
      <c r="B16" s="13" t="s">
        <v>516</v>
      </c>
      <c r="C16" s="13" t="s">
        <v>517</v>
      </c>
      <c r="D16" s="13" t="s">
        <v>484</v>
      </c>
      <c r="E16" s="13" t="s">
        <v>480</v>
      </c>
      <c r="F16" s="14" t="s">
        <v>481</v>
      </c>
      <c r="G16" s="15" t="n">
        <v>46295</v>
      </c>
      <c r="H16" s="13" t="s">
        <v>482</v>
      </c>
      <c r="I16" s="13" t="s">
        <v>81</v>
      </c>
      <c r="J16" s="16" t="s">
        <v>11</v>
      </c>
      <c r="K16" s="15" t="n">
        <v>46295</v>
      </c>
      <c r="L16" s="13"/>
    </row>
    <row r="17" customFormat="false" ht="23.85" hidden="false" customHeight="false" outlineLevel="0" collapsed="false">
      <c r="A17" s="13" t="s">
        <v>24</v>
      </c>
      <c r="B17" s="13" t="s">
        <v>518</v>
      </c>
      <c r="C17" s="13" t="s">
        <v>519</v>
      </c>
      <c r="D17" s="13" t="s">
        <v>484</v>
      </c>
      <c r="E17" s="13" t="s">
        <v>480</v>
      </c>
      <c r="F17" s="14" t="s">
        <v>481</v>
      </c>
      <c r="G17" s="15" t="n">
        <v>46295</v>
      </c>
      <c r="H17" s="13" t="s">
        <v>482</v>
      </c>
      <c r="I17" s="13" t="s">
        <v>81</v>
      </c>
      <c r="J17" s="16" t="s">
        <v>11</v>
      </c>
      <c r="K17" s="15" t="n">
        <v>46295</v>
      </c>
      <c r="L17" s="13" t="s">
        <v>520</v>
      </c>
    </row>
    <row r="18" customFormat="false" ht="23.85" hidden="false" customHeight="false" outlineLevel="0" collapsed="false">
      <c r="A18" s="13" t="s">
        <v>24</v>
      </c>
      <c r="B18" s="13" t="s">
        <v>25</v>
      </c>
      <c r="C18" s="13" t="s">
        <v>521</v>
      </c>
      <c r="D18" s="13" t="s">
        <v>484</v>
      </c>
      <c r="E18" s="13" t="s">
        <v>480</v>
      </c>
      <c r="F18" s="14" t="s">
        <v>481</v>
      </c>
      <c r="G18" s="15" t="n">
        <v>46295</v>
      </c>
      <c r="H18" s="13" t="s">
        <v>482</v>
      </c>
      <c r="I18" s="13" t="s">
        <v>81</v>
      </c>
      <c r="J18" s="16" t="s">
        <v>11</v>
      </c>
      <c r="K18" s="15" t="n">
        <v>46295</v>
      </c>
      <c r="L18" s="13"/>
    </row>
    <row r="19" customFormat="false" ht="35.05" hidden="false" customHeight="false" outlineLevel="0" collapsed="false">
      <c r="A19" s="13" t="s">
        <v>401</v>
      </c>
      <c r="B19" s="13" t="s">
        <v>263</v>
      </c>
      <c r="C19" s="13" t="s">
        <v>522</v>
      </c>
      <c r="D19" s="13" t="s">
        <v>484</v>
      </c>
      <c r="E19" s="13" t="s">
        <v>480</v>
      </c>
      <c r="F19" s="14" t="s">
        <v>481</v>
      </c>
      <c r="G19" s="15" t="n">
        <v>46295</v>
      </c>
      <c r="H19" s="13" t="s">
        <v>482</v>
      </c>
      <c r="I19" s="13" t="s">
        <v>81</v>
      </c>
      <c r="J19" s="16" t="s">
        <v>11</v>
      </c>
      <c r="K19" s="15" t="n">
        <v>46295</v>
      </c>
      <c r="L19" s="13"/>
    </row>
    <row r="20" customFormat="false" ht="23.85" hidden="false" customHeight="false" outlineLevel="0" collapsed="false">
      <c r="A20" s="13" t="s">
        <v>401</v>
      </c>
      <c r="B20" s="13" t="s">
        <v>265</v>
      </c>
      <c r="C20" s="13" t="s">
        <v>523</v>
      </c>
      <c r="D20" s="13" t="s">
        <v>484</v>
      </c>
      <c r="E20" s="13" t="s">
        <v>480</v>
      </c>
      <c r="F20" s="14" t="s">
        <v>481</v>
      </c>
      <c r="G20" s="15" t="n">
        <v>46295</v>
      </c>
      <c r="H20" s="13" t="s">
        <v>482</v>
      </c>
      <c r="I20" s="13" t="s">
        <v>81</v>
      </c>
      <c r="J20" s="16" t="s">
        <v>11</v>
      </c>
      <c r="K20" s="15" t="n">
        <v>46295</v>
      </c>
      <c r="L20" s="13"/>
    </row>
    <row r="21" customFormat="false" ht="23.85" hidden="false" customHeight="false" outlineLevel="0" collapsed="false">
      <c r="A21" s="13" t="s">
        <v>192</v>
      </c>
      <c r="B21" s="13" t="s">
        <v>524</v>
      </c>
      <c r="C21" s="13" t="s">
        <v>525</v>
      </c>
      <c r="D21" s="13" t="s">
        <v>484</v>
      </c>
      <c r="E21" s="13" t="s">
        <v>480</v>
      </c>
      <c r="F21" s="14" t="s">
        <v>481</v>
      </c>
      <c r="G21" s="15" t="n">
        <v>46295</v>
      </c>
      <c r="H21" s="13" t="s">
        <v>482</v>
      </c>
      <c r="I21" s="13" t="s">
        <v>81</v>
      </c>
      <c r="J21" s="16" t="s">
        <v>11</v>
      </c>
      <c r="K21" s="15" t="n">
        <v>46295</v>
      </c>
      <c r="L21" s="13"/>
    </row>
    <row r="22" customFormat="false" ht="23.85" hidden="false" customHeight="false" outlineLevel="0" collapsed="false">
      <c r="A22" s="13" t="s">
        <v>407</v>
      </c>
      <c r="B22" s="13" t="s">
        <v>526</v>
      </c>
      <c r="C22" s="13" t="s">
        <v>527</v>
      </c>
      <c r="D22" s="13" t="s">
        <v>484</v>
      </c>
      <c r="E22" s="13" t="s">
        <v>480</v>
      </c>
      <c r="F22" s="14" t="s">
        <v>481</v>
      </c>
      <c r="G22" s="15" t="n">
        <v>46295</v>
      </c>
      <c r="H22" s="13" t="s">
        <v>482</v>
      </c>
      <c r="I22" s="13" t="s">
        <v>81</v>
      </c>
      <c r="J22" s="16" t="s">
        <v>11</v>
      </c>
      <c r="K22" s="15" t="n">
        <v>46295</v>
      </c>
      <c r="L22" s="13"/>
    </row>
    <row r="23" customFormat="false" ht="23.85" hidden="false" customHeight="false" outlineLevel="0" collapsed="false">
      <c r="A23" s="13" t="s">
        <v>528</v>
      </c>
      <c r="B23" s="13" t="s">
        <v>529</v>
      </c>
      <c r="C23" s="13" t="s">
        <v>530</v>
      </c>
      <c r="D23" s="13" t="s">
        <v>484</v>
      </c>
      <c r="E23" s="13" t="s">
        <v>480</v>
      </c>
      <c r="F23" s="14" t="s">
        <v>481</v>
      </c>
      <c r="G23" s="15" t="n">
        <v>46295</v>
      </c>
      <c r="H23" s="13" t="s">
        <v>482</v>
      </c>
      <c r="I23" s="13" t="s">
        <v>81</v>
      </c>
      <c r="J23" s="16" t="s">
        <v>11</v>
      </c>
      <c r="K23" s="15" t="n">
        <v>46295</v>
      </c>
      <c r="L23" s="13"/>
    </row>
  </sheetData>
  <autoFilter ref="A1:L23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www.dfs.ny.gov/consumers/auto_insurance/Auto_resource_center"/>
    <hyperlink ref="F3" r:id="rId2" display="https://www.dfs.ny.gov/consumers/auto_insurance/Auto_resource_center"/>
    <hyperlink ref="F4" r:id="rId3" display="https://www.dfs.ny.gov/consumers/auto_insurance/Auto_resource_center"/>
    <hyperlink ref="F5" r:id="rId4" display="https://www.dfs.ny.gov/consumers/auto_insurance/Auto_resource_center"/>
    <hyperlink ref="F6" r:id="rId5" display="https://www.dfs.ny.gov/consumers/auto_insurance/Auto_resource_center"/>
    <hyperlink ref="F7" r:id="rId6" display="https://www.dfs.ny.gov/consumers/auto_insurance/Auto_resource_center"/>
    <hyperlink ref="F8" r:id="rId7" display="https://www.dfs.ny.gov/consumers/auto_insurance/Auto_resource_center"/>
    <hyperlink ref="F9" r:id="rId8" display="https://www.dfs.ny.gov/faqs/consumer-auto/how-much-auto-insurance-must-i-carry"/>
    <hyperlink ref="F10" r:id="rId9" display="https://www.dfs.ny.gov/consumers/auto_insurance/Auto_resource_center"/>
    <hyperlink ref="F11" r:id="rId10" display="https://www.dfs.ny.gov/consumers/auto_insurance/Auto_resource_center"/>
    <hyperlink ref="F12" r:id="rId11" display="https://www.dfs.ny.gov/consumers/auto_insurance/Auto_resource_center"/>
    <hyperlink ref="F13" r:id="rId12" display="https://www.dfs.ny.gov/consumers/auto_insurance/Auto_resource_center"/>
    <hyperlink ref="F14" r:id="rId13" display="https://www.dfs.ny.gov/consumers/auto_insurance/Auto_resource_center"/>
    <hyperlink ref="F15" r:id="rId14" display="https://www.dfs.ny.gov/consumers/auto_insurance/Auto_resource_center"/>
    <hyperlink ref="F16" r:id="rId15" display="https://www.dfs.ny.gov/consumers/auto_insurance/Auto_resource_center"/>
    <hyperlink ref="F17" r:id="rId16" display="https://www.dfs.ny.gov/consumers/auto_insurance/Auto_resource_center"/>
    <hyperlink ref="F18" r:id="rId17" display="https://www.dfs.ny.gov/consumers/auto_insurance/Auto_resource_center"/>
    <hyperlink ref="F19" r:id="rId18" display="https://www.dfs.ny.gov/consumers/auto_insurance/Auto_resource_center"/>
    <hyperlink ref="F20" r:id="rId19" display="https://www.dfs.ny.gov/consumers/auto_insurance/Auto_resource_center"/>
    <hyperlink ref="F21" r:id="rId20" display="https://www.dfs.ny.gov/consumers/auto_insurance/Auto_resource_center"/>
    <hyperlink ref="F22" r:id="rId21" display="https://www.dfs.ny.gov/consumers/auto_insurance/Auto_resource_center"/>
    <hyperlink ref="F23" r:id="rId22" display="https://www.dfs.ny.gov/consumers/auto_insurance/Auto_resource_cente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8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212</v>
      </c>
      <c r="B2" s="13" t="s">
        <v>531</v>
      </c>
      <c r="C2" s="13" t="s">
        <v>532</v>
      </c>
      <c r="D2" s="13" t="s">
        <v>533</v>
      </c>
      <c r="E2" s="13" t="s">
        <v>534</v>
      </c>
      <c r="F2" s="14" t="s">
        <v>535</v>
      </c>
      <c r="G2" s="15" t="n">
        <v>46295</v>
      </c>
      <c r="H2" s="13" t="s">
        <v>374</v>
      </c>
      <c r="I2" s="13" t="s">
        <v>81</v>
      </c>
      <c r="J2" s="16" t="s">
        <v>11</v>
      </c>
      <c r="K2" s="15" t="n">
        <v>46295</v>
      </c>
      <c r="L2" s="13"/>
    </row>
    <row r="3" customFormat="false" ht="23.85" hidden="false" customHeight="false" outlineLevel="0" collapsed="false">
      <c r="A3" s="13" t="s">
        <v>536</v>
      </c>
      <c r="B3" s="13" t="s">
        <v>537</v>
      </c>
      <c r="C3" s="13" t="s">
        <v>538</v>
      </c>
      <c r="D3" s="13" t="s">
        <v>539</v>
      </c>
      <c r="E3" s="13" t="s">
        <v>534</v>
      </c>
      <c r="F3" s="14" t="s">
        <v>535</v>
      </c>
      <c r="G3" s="15" t="n">
        <v>46295</v>
      </c>
      <c r="H3" s="13" t="s">
        <v>374</v>
      </c>
      <c r="I3" s="13" t="s">
        <v>81</v>
      </c>
      <c r="J3" s="16" t="s">
        <v>11</v>
      </c>
      <c r="K3" s="15" t="n">
        <v>46295</v>
      </c>
      <c r="L3" s="13"/>
    </row>
    <row r="4" customFormat="false" ht="23.85" hidden="false" customHeight="false" outlineLevel="0" collapsed="false">
      <c r="A4" s="13" t="s">
        <v>540</v>
      </c>
      <c r="B4" s="13" t="s">
        <v>541</v>
      </c>
      <c r="C4" s="13" t="s">
        <v>542</v>
      </c>
      <c r="D4" s="13" t="s">
        <v>543</v>
      </c>
      <c r="E4" s="13" t="s">
        <v>534</v>
      </c>
      <c r="F4" s="14" t="s">
        <v>535</v>
      </c>
      <c r="G4" s="15" t="n">
        <v>46295</v>
      </c>
      <c r="H4" s="13" t="s">
        <v>374</v>
      </c>
      <c r="I4" s="13" t="s">
        <v>81</v>
      </c>
      <c r="J4" s="16" t="s">
        <v>11</v>
      </c>
      <c r="K4" s="15" t="n">
        <v>46295</v>
      </c>
      <c r="L4" s="13"/>
    </row>
    <row r="5" customFormat="false" ht="23.85" hidden="false" customHeight="false" outlineLevel="0" collapsed="false">
      <c r="A5" s="13" t="s">
        <v>314</v>
      </c>
      <c r="B5" s="13" t="s">
        <v>315</v>
      </c>
      <c r="C5" s="13" t="s">
        <v>544</v>
      </c>
      <c r="D5" s="13" t="s">
        <v>545</v>
      </c>
      <c r="E5" s="13" t="s">
        <v>534</v>
      </c>
      <c r="F5" s="14" t="s">
        <v>535</v>
      </c>
      <c r="G5" s="15" t="n">
        <v>46295</v>
      </c>
      <c r="H5" s="13" t="s">
        <v>374</v>
      </c>
      <c r="I5" s="13" t="s">
        <v>81</v>
      </c>
      <c r="J5" s="16" t="s">
        <v>11</v>
      </c>
      <c r="K5" s="15" t="n">
        <v>46295</v>
      </c>
      <c r="L5" s="13"/>
    </row>
    <row r="6" customFormat="false" ht="23.85" hidden="false" customHeight="false" outlineLevel="0" collapsed="false">
      <c r="A6" s="13" t="s">
        <v>314</v>
      </c>
      <c r="B6" s="13" t="s">
        <v>546</v>
      </c>
      <c r="C6" s="13" t="s">
        <v>547</v>
      </c>
      <c r="D6" s="13" t="s">
        <v>548</v>
      </c>
      <c r="E6" s="13" t="s">
        <v>549</v>
      </c>
      <c r="F6" s="14" t="s">
        <v>550</v>
      </c>
      <c r="G6" s="15" t="n">
        <v>46295</v>
      </c>
      <c r="H6" s="13" t="s">
        <v>374</v>
      </c>
      <c r="I6" s="13" t="s">
        <v>81</v>
      </c>
      <c r="J6" s="16" t="s">
        <v>11</v>
      </c>
      <c r="K6" s="15" t="n">
        <v>46295</v>
      </c>
      <c r="L6" s="13"/>
    </row>
    <row r="7" customFormat="false" ht="23.85" hidden="false" customHeight="false" outlineLevel="0" collapsed="false">
      <c r="A7" s="13" t="s">
        <v>551</v>
      </c>
      <c r="B7" s="13" t="s">
        <v>552</v>
      </c>
      <c r="C7" s="13" t="s">
        <v>553</v>
      </c>
      <c r="D7" s="13" t="s">
        <v>543</v>
      </c>
      <c r="E7" s="13" t="s">
        <v>534</v>
      </c>
      <c r="F7" s="14" t="s">
        <v>535</v>
      </c>
      <c r="G7" s="15" t="n">
        <v>46295</v>
      </c>
      <c r="H7" s="13" t="s">
        <v>374</v>
      </c>
      <c r="I7" s="13" t="s">
        <v>81</v>
      </c>
      <c r="J7" s="16" t="s">
        <v>11</v>
      </c>
      <c r="K7" s="15" t="n">
        <v>46295</v>
      </c>
      <c r="L7" s="13"/>
    </row>
    <row r="8" customFormat="false" ht="23.85" hidden="false" customHeight="false" outlineLevel="0" collapsed="false">
      <c r="A8" s="13" t="s">
        <v>551</v>
      </c>
      <c r="B8" s="13" t="s">
        <v>554</v>
      </c>
      <c r="C8" s="13" t="s">
        <v>555</v>
      </c>
      <c r="D8" s="13" t="s">
        <v>556</v>
      </c>
      <c r="E8" s="13" t="s">
        <v>557</v>
      </c>
      <c r="F8" s="14" t="s">
        <v>558</v>
      </c>
      <c r="G8" s="15" t="n">
        <v>46295</v>
      </c>
      <c r="H8" s="13" t="s">
        <v>374</v>
      </c>
      <c r="I8" s="13" t="s">
        <v>81</v>
      </c>
      <c r="J8" s="16" t="s">
        <v>11</v>
      </c>
      <c r="K8" s="15" t="n">
        <v>46295</v>
      </c>
      <c r="L8" s="13"/>
    </row>
    <row r="9" customFormat="false" ht="35.05" hidden="false" customHeight="false" outlineLevel="0" collapsed="false">
      <c r="A9" s="13" t="s">
        <v>551</v>
      </c>
      <c r="B9" s="13" t="s">
        <v>559</v>
      </c>
      <c r="C9" s="13" t="s">
        <v>560</v>
      </c>
      <c r="D9" s="13" t="s">
        <v>561</v>
      </c>
      <c r="E9" s="13" t="s">
        <v>562</v>
      </c>
      <c r="F9" s="14" t="s">
        <v>563</v>
      </c>
      <c r="G9" s="15" t="n">
        <v>46295</v>
      </c>
      <c r="H9" s="13" t="s">
        <v>374</v>
      </c>
      <c r="I9" s="13" t="s">
        <v>81</v>
      </c>
      <c r="J9" s="16" t="s">
        <v>11</v>
      </c>
      <c r="K9" s="15" t="n">
        <v>46295</v>
      </c>
      <c r="L9" s="13" t="s">
        <v>564</v>
      </c>
    </row>
    <row r="10" customFormat="false" ht="23.85" hidden="false" customHeight="false" outlineLevel="0" collapsed="false">
      <c r="A10" s="13" t="s">
        <v>551</v>
      </c>
      <c r="B10" s="13" t="s">
        <v>565</v>
      </c>
      <c r="C10" s="13" t="s">
        <v>566</v>
      </c>
      <c r="D10" s="13" t="s">
        <v>543</v>
      </c>
      <c r="E10" s="13" t="s">
        <v>534</v>
      </c>
      <c r="F10" s="14" t="s">
        <v>535</v>
      </c>
      <c r="G10" s="15" t="n">
        <v>46295</v>
      </c>
      <c r="H10" s="13" t="s">
        <v>374</v>
      </c>
      <c r="I10" s="13" t="s">
        <v>81</v>
      </c>
      <c r="J10" s="16" t="s">
        <v>11</v>
      </c>
      <c r="K10" s="15" t="n">
        <v>46295</v>
      </c>
      <c r="L10" s="13"/>
    </row>
    <row r="11" customFormat="false" ht="23.85" hidden="false" customHeight="false" outlineLevel="0" collapsed="false">
      <c r="A11" s="13" t="s">
        <v>551</v>
      </c>
      <c r="B11" s="13" t="s">
        <v>567</v>
      </c>
      <c r="C11" s="13" t="s">
        <v>568</v>
      </c>
      <c r="D11" s="13" t="s">
        <v>548</v>
      </c>
      <c r="E11" s="13" t="s">
        <v>549</v>
      </c>
      <c r="F11" s="14" t="s">
        <v>550</v>
      </c>
      <c r="G11" s="15" t="n">
        <v>46295</v>
      </c>
      <c r="H11" s="13" t="s">
        <v>374</v>
      </c>
      <c r="I11" s="13" t="s">
        <v>81</v>
      </c>
      <c r="J11" s="16" t="s">
        <v>11</v>
      </c>
      <c r="K11" s="15" t="n">
        <v>46295</v>
      </c>
      <c r="L11" s="13" t="s">
        <v>569</v>
      </c>
    </row>
    <row r="12" customFormat="false" ht="23.85" hidden="false" customHeight="false" outlineLevel="0" collapsed="false">
      <c r="A12" s="13" t="s">
        <v>551</v>
      </c>
      <c r="B12" s="13" t="s">
        <v>570</v>
      </c>
      <c r="C12" s="13" t="s">
        <v>571</v>
      </c>
      <c r="D12" s="13" t="s">
        <v>572</v>
      </c>
      <c r="E12" s="13" t="s">
        <v>573</v>
      </c>
      <c r="F12" s="14" t="s">
        <v>574</v>
      </c>
      <c r="G12" s="15" t="n">
        <v>46295</v>
      </c>
      <c r="H12" s="13" t="s">
        <v>374</v>
      </c>
      <c r="I12" s="13" t="s">
        <v>98</v>
      </c>
      <c r="J12" s="18" t="s">
        <v>15</v>
      </c>
      <c r="K12" s="15" t="n">
        <v>46295</v>
      </c>
      <c r="L12" s="13" t="s">
        <v>575</v>
      </c>
    </row>
    <row r="13" customFormat="false" ht="23.85" hidden="false" customHeight="false" outlineLevel="0" collapsed="false">
      <c r="A13" s="13" t="s">
        <v>576</v>
      </c>
      <c r="B13" s="13" t="s">
        <v>577</v>
      </c>
      <c r="C13" s="13" t="s">
        <v>578</v>
      </c>
      <c r="D13" s="13" t="s">
        <v>539</v>
      </c>
      <c r="E13" s="13" t="s">
        <v>534</v>
      </c>
      <c r="F13" s="14" t="s">
        <v>535</v>
      </c>
      <c r="G13" s="15" t="n">
        <v>46295</v>
      </c>
      <c r="H13" s="13" t="s">
        <v>374</v>
      </c>
      <c r="I13" s="13" t="s">
        <v>81</v>
      </c>
      <c r="J13" s="16" t="s">
        <v>11</v>
      </c>
      <c r="K13" s="15" t="n">
        <v>46295</v>
      </c>
      <c r="L13" s="13"/>
    </row>
    <row r="14" customFormat="false" ht="15" hidden="false" customHeight="false" outlineLevel="0" collapsed="false">
      <c r="A14" s="13" t="s">
        <v>401</v>
      </c>
      <c r="B14" s="13" t="s">
        <v>579</v>
      </c>
      <c r="C14" s="13" t="s">
        <v>580</v>
      </c>
      <c r="D14" s="13" t="s">
        <v>548</v>
      </c>
      <c r="E14" s="13" t="s">
        <v>549</v>
      </c>
      <c r="F14" s="14" t="s">
        <v>550</v>
      </c>
      <c r="G14" s="15" t="n">
        <v>46295</v>
      </c>
      <c r="H14" s="13" t="s">
        <v>374</v>
      </c>
      <c r="I14" s="13" t="s">
        <v>81</v>
      </c>
      <c r="J14" s="16" t="s">
        <v>11</v>
      </c>
      <c r="K14" s="15" t="n">
        <v>46295</v>
      </c>
      <c r="L14" s="13" t="s">
        <v>581</v>
      </c>
    </row>
    <row r="15" customFormat="false" ht="23.85" hidden="false" customHeight="false" outlineLevel="0" collapsed="false">
      <c r="A15" s="13" t="s">
        <v>407</v>
      </c>
      <c r="B15" s="13" t="s">
        <v>582</v>
      </c>
      <c r="C15" s="13" t="s">
        <v>583</v>
      </c>
      <c r="D15" s="13" t="s">
        <v>543</v>
      </c>
      <c r="E15" s="13" t="s">
        <v>534</v>
      </c>
      <c r="F15" s="14" t="s">
        <v>535</v>
      </c>
      <c r="G15" s="15" t="n">
        <v>46295</v>
      </c>
      <c r="H15" s="13" t="s">
        <v>374</v>
      </c>
      <c r="I15" s="13" t="s">
        <v>81</v>
      </c>
      <c r="J15" s="16" t="s">
        <v>11</v>
      </c>
      <c r="K15" s="15" t="n">
        <v>46295</v>
      </c>
      <c r="L15" s="13"/>
    </row>
    <row r="16" customFormat="false" ht="23.85" hidden="false" customHeight="false" outlineLevel="0" collapsed="false">
      <c r="A16" s="13" t="s">
        <v>584</v>
      </c>
      <c r="B16" s="13" t="s">
        <v>585</v>
      </c>
      <c r="C16" s="13" t="s">
        <v>586</v>
      </c>
      <c r="D16" s="13" t="s">
        <v>587</v>
      </c>
      <c r="E16" s="13" t="s">
        <v>588</v>
      </c>
      <c r="F16" s="14" t="s">
        <v>589</v>
      </c>
      <c r="G16" s="15" t="n">
        <v>46295</v>
      </c>
      <c r="H16" s="13" t="s">
        <v>374</v>
      </c>
      <c r="I16" s="13" t="s">
        <v>98</v>
      </c>
      <c r="J16" s="17" t="s">
        <v>13</v>
      </c>
      <c r="K16" s="15" t="n">
        <v>46295</v>
      </c>
      <c r="L16" s="13" t="s">
        <v>590</v>
      </c>
    </row>
    <row r="17" customFormat="false" ht="23.85" hidden="false" customHeight="false" outlineLevel="0" collapsed="false">
      <c r="A17" s="13" t="s">
        <v>591</v>
      </c>
      <c r="B17" s="13" t="s">
        <v>592</v>
      </c>
      <c r="C17" s="13" t="s">
        <v>593</v>
      </c>
      <c r="D17" s="13" t="s">
        <v>594</v>
      </c>
      <c r="E17" s="13" t="s">
        <v>588</v>
      </c>
      <c r="F17" s="14" t="s">
        <v>589</v>
      </c>
      <c r="G17" s="15" t="n">
        <v>46295</v>
      </c>
      <c r="H17" s="13" t="s">
        <v>374</v>
      </c>
      <c r="I17" s="13" t="s">
        <v>98</v>
      </c>
      <c r="J17" s="17" t="s">
        <v>13</v>
      </c>
      <c r="K17" s="15" t="n">
        <v>46295</v>
      </c>
      <c r="L17" s="13" t="s">
        <v>595</v>
      </c>
    </row>
  </sheetData>
  <autoFilter ref="A1:L17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www.tdi.texas.gov/pubs/consumer/cb025.html"/>
    <hyperlink ref="F3" r:id="rId2" display="https://www.tdi.texas.gov/pubs/consumer/cb025.html"/>
    <hyperlink ref="F4" r:id="rId3" display="https://www.tdi.texas.gov/pubs/consumer/cb025.html"/>
    <hyperlink ref="F5" r:id="rId4" display="https://www.tdi.texas.gov/pubs/consumer/cb025.html"/>
    <hyperlink ref="F6" r:id="rId5" display="https://tdi.texas.gov/blog/category/home-property.html"/>
    <hyperlink ref="F7" r:id="rId6" display="https://www.tdi.texas.gov/pubs/consumer/cb025.html"/>
    <hyperlink ref="F8" r:id="rId7" display="https://www.tdi.texas.gov/general/texas-homeowners-insurance-market-overview.html"/>
    <hyperlink ref="F9" r:id="rId8" display="https://www.twia.org/flood-requirement/"/>
    <hyperlink ref="F10" r:id="rId9" display="https://www.tdi.texas.gov/pubs/consumer/cb025.html"/>
    <hyperlink ref="F11" r:id="rId10" display="https://tdi.texas.gov/blog/category/home-property.html"/>
    <hyperlink ref="F12" r:id="rId11" display="https://www.latentinsure.com/texas-homeowners-insurance/twia"/>
    <hyperlink ref="F13" r:id="rId12" display="https://www.tdi.texas.gov/pubs/consumer/cb025.html"/>
    <hyperlink ref="F14" r:id="rId13" display="https://tdi.texas.gov/blog/category/home-property.html"/>
    <hyperlink ref="F15" r:id="rId14" display="https://www.tdi.texas.gov/pubs/consumer/cb025.html"/>
    <hyperlink ref="F16" r:id="rId15" display="https://aegivra.com/guides/texas-homeowners-insurance-guide"/>
    <hyperlink ref="F17" r:id="rId16" display="https://aegivra.com/guides/texas-homeowners-insurance-gui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34"/>
    <col collapsed="false" customWidth="true" hidden="false" outlineLevel="0" max="5" min="5" style="0" width="42"/>
    <col collapsed="false" customWidth="true" hidden="false" outlineLevel="0" max="6" min="6" style="0" width="5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8"/>
  </cols>
  <sheetData>
    <row r="1" customFormat="false" ht="31.5" hidden="false" customHeight="true" outlineLevel="0" collapsed="false">
      <c r="A1" s="12" t="s">
        <v>62</v>
      </c>
      <c r="B1" s="12" t="s">
        <v>63</v>
      </c>
      <c r="C1" s="12" t="s">
        <v>64</v>
      </c>
      <c r="D1" s="12" t="s">
        <v>65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596</v>
      </c>
      <c r="B2" s="13" t="s">
        <v>597</v>
      </c>
      <c r="C2" s="13" t="s">
        <v>598</v>
      </c>
      <c r="D2" s="13" t="s">
        <v>599</v>
      </c>
      <c r="E2" s="13" t="s">
        <v>600</v>
      </c>
      <c r="F2" s="14" t="s">
        <v>601</v>
      </c>
      <c r="G2" s="15" t="n">
        <v>46295</v>
      </c>
      <c r="H2" s="13" t="s">
        <v>423</v>
      </c>
      <c r="I2" s="13" t="s">
        <v>105</v>
      </c>
      <c r="J2" s="16" t="s">
        <v>11</v>
      </c>
      <c r="K2" s="15" t="n">
        <v>46295</v>
      </c>
      <c r="L2" s="13" t="s">
        <v>602</v>
      </c>
    </row>
    <row r="3" customFormat="false" ht="23.85" hidden="false" customHeight="false" outlineLevel="0" collapsed="false">
      <c r="A3" s="13" t="s">
        <v>596</v>
      </c>
      <c r="B3" s="13" t="s">
        <v>603</v>
      </c>
      <c r="C3" s="13" t="s">
        <v>604</v>
      </c>
      <c r="D3" s="13" t="s">
        <v>605</v>
      </c>
      <c r="E3" s="13" t="s">
        <v>606</v>
      </c>
      <c r="F3" s="14" t="s">
        <v>607</v>
      </c>
      <c r="G3" s="15" t="n">
        <v>46295</v>
      </c>
      <c r="H3" s="13" t="s">
        <v>423</v>
      </c>
      <c r="I3" s="13" t="s">
        <v>81</v>
      </c>
      <c r="J3" s="16" t="s">
        <v>11</v>
      </c>
      <c r="K3" s="15" t="n">
        <v>46295</v>
      </c>
      <c r="L3" s="13" t="s">
        <v>608</v>
      </c>
    </row>
    <row r="4" customFormat="false" ht="23.85" hidden="false" customHeight="false" outlineLevel="0" collapsed="false">
      <c r="A4" s="13" t="s">
        <v>596</v>
      </c>
      <c r="B4" s="13" t="s">
        <v>609</v>
      </c>
      <c r="C4" s="13" t="s">
        <v>610</v>
      </c>
      <c r="D4" s="13" t="s">
        <v>611</v>
      </c>
      <c r="E4" s="13" t="s">
        <v>606</v>
      </c>
      <c r="F4" s="14" t="s">
        <v>607</v>
      </c>
      <c r="G4" s="15" t="n">
        <v>46295</v>
      </c>
      <c r="H4" s="13" t="s">
        <v>423</v>
      </c>
      <c r="I4" s="13" t="s">
        <v>81</v>
      </c>
      <c r="J4" s="16" t="s">
        <v>11</v>
      </c>
      <c r="K4" s="15" t="n">
        <v>46295</v>
      </c>
      <c r="L4" s="13" t="s">
        <v>612</v>
      </c>
    </row>
    <row r="5" customFormat="false" ht="23.85" hidden="false" customHeight="false" outlineLevel="0" collapsed="false">
      <c r="A5" s="13" t="s">
        <v>613</v>
      </c>
      <c r="B5" s="13" t="s">
        <v>614</v>
      </c>
      <c r="C5" s="13" t="s">
        <v>615</v>
      </c>
      <c r="D5" s="13" t="s">
        <v>616</v>
      </c>
      <c r="E5" s="13" t="s">
        <v>606</v>
      </c>
      <c r="F5" s="14" t="s">
        <v>607</v>
      </c>
      <c r="G5" s="15" t="n">
        <v>46295</v>
      </c>
      <c r="H5" s="13" t="s">
        <v>423</v>
      </c>
      <c r="I5" s="13" t="s">
        <v>81</v>
      </c>
      <c r="J5" s="16" t="s">
        <v>11</v>
      </c>
      <c r="K5" s="15" t="n">
        <v>46295</v>
      </c>
      <c r="L5" s="13"/>
    </row>
    <row r="6" customFormat="false" ht="23.85" hidden="false" customHeight="false" outlineLevel="0" collapsed="false">
      <c r="A6" s="13" t="s">
        <v>613</v>
      </c>
      <c r="B6" s="13" t="s">
        <v>617</v>
      </c>
      <c r="C6" s="13" t="s">
        <v>618</v>
      </c>
      <c r="D6" s="13" t="s">
        <v>619</v>
      </c>
      <c r="E6" s="13" t="s">
        <v>600</v>
      </c>
      <c r="F6" s="14" t="s">
        <v>601</v>
      </c>
      <c r="G6" s="15" t="n">
        <v>46295</v>
      </c>
      <c r="H6" s="13" t="s">
        <v>423</v>
      </c>
      <c r="I6" s="13" t="s">
        <v>105</v>
      </c>
      <c r="J6" s="16" t="s">
        <v>11</v>
      </c>
      <c r="K6" s="15" t="n">
        <v>46295</v>
      </c>
      <c r="L6" s="13" t="s">
        <v>620</v>
      </c>
    </row>
    <row r="7" customFormat="false" ht="23.85" hidden="false" customHeight="false" outlineLevel="0" collapsed="false">
      <c r="A7" s="13" t="s">
        <v>613</v>
      </c>
      <c r="B7" s="13" t="s">
        <v>621</v>
      </c>
      <c r="C7" s="13" t="s">
        <v>622</v>
      </c>
      <c r="D7" s="13" t="s">
        <v>623</v>
      </c>
      <c r="E7" s="13" t="s">
        <v>600</v>
      </c>
      <c r="F7" s="14" t="s">
        <v>601</v>
      </c>
      <c r="G7" s="15" t="n">
        <v>46295</v>
      </c>
      <c r="H7" s="13" t="s">
        <v>423</v>
      </c>
      <c r="I7" s="13" t="s">
        <v>105</v>
      </c>
      <c r="J7" s="16" t="s">
        <v>11</v>
      </c>
      <c r="K7" s="15" t="n">
        <v>46295</v>
      </c>
      <c r="L7" s="13" t="s">
        <v>624</v>
      </c>
    </row>
    <row r="8" customFormat="false" ht="23.85" hidden="false" customHeight="false" outlineLevel="0" collapsed="false">
      <c r="A8" s="13" t="s">
        <v>314</v>
      </c>
      <c r="B8" s="13" t="s">
        <v>315</v>
      </c>
      <c r="C8" s="13" t="s">
        <v>625</v>
      </c>
      <c r="D8" s="13" t="s">
        <v>626</v>
      </c>
      <c r="E8" s="13" t="s">
        <v>627</v>
      </c>
      <c r="F8" s="14" t="s">
        <v>628</v>
      </c>
      <c r="G8" s="15" t="n">
        <v>46295</v>
      </c>
      <c r="H8" s="13" t="s">
        <v>423</v>
      </c>
      <c r="I8" s="13" t="s">
        <v>98</v>
      </c>
      <c r="J8" s="17" t="s">
        <v>13</v>
      </c>
      <c r="K8" s="15" t="n">
        <v>46295</v>
      </c>
      <c r="L8" s="13"/>
    </row>
    <row r="9" customFormat="false" ht="46.25" hidden="false" customHeight="false" outlineLevel="0" collapsed="false">
      <c r="A9" s="13" t="s">
        <v>629</v>
      </c>
      <c r="B9" s="13" t="s">
        <v>630</v>
      </c>
      <c r="C9" s="13" t="s">
        <v>631</v>
      </c>
      <c r="D9" s="13" t="s">
        <v>632</v>
      </c>
      <c r="E9" s="13" t="s">
        <v>633</v>
      </c>
      <c r="F9" s="14" t="s">
        <v>634</v>
      </c>
      <c r="G9" s="15" t="n">
        <v>46295</v>
      </c>
      <c r="H9" s="13" t="s">
        <v>423</v>
      </c>
      <c r="I9" s="13" t="s">
        <v>98</v>
      </c>
      <c r="J9" s="17" t="s">
        <v>13</v>
      </c>
      <c r="K9" s="15" t="n">
        <v>46295</v>
      </c>
      <c r="L9" s="13" t="s">
        <v>635</v>
      </c>
    </row>
    <row r="10" customFormat="false" ht="23.85" hidden="false" customHeight="false" outlineLevel="0" collapsed="false">
      <c r="A10" s="13" t="s">
        <v>629</v>
      </c>
      <c r="B10" s="13" t="s">
        <v>636</v>
      </c>
      <c r="C10" s="13" t="s">
        <v>637</v>
      </c>
      <c r="D10" s="13" t="s">
        <v>638</v>
      </c>
      <c r="E10" s="13" t="s">
        <v>639</v>
      </c>
      <c r="F10" s="14" t="s">
        <v>640</v>
      </c>
      <c r="G10" s="15" t="n">
        <v>46295</v>
      </c>
      <c r="H10" s="13" t="s">
        <v>423</v>
      </c>
      <c r="I10" s="13" t="s">
        <v>98</v>
      </c>
      <c r="J10" s="17" t="s">
        <v>13</v>
      </c>
      <c r="K10" s="15" t="n">
        <v>46295</v>
      </c>
      <c r="L10" s="13" t="s">
        <v>641</v>
      </c>
    </row>
    <row r="11" customFormat="false" ht="23.85" hidden="false" customHeight="false" outlineLevel="0" collapsed="false">
      <c r="A11" s="13" t="s">
        <v>629</v>
      </c>
      <c r="B11" s="13" t="s">
        <v>642</v>
      </c>
      <c r="C11" s="13" t="s">
        <v>643</v>
      </c>
      <c r="D11" s="13" t="s">
        <v>644</v>
      </c>
      <c r="E11" s="13" t="s">
        <v>639</v>
      </c>
      <c r="F11" s="14" t="s">
        <v>640</v>
      </c>
      <c r="G11" s="15" t="n">
        <v>46295</v>
      </c>
      <c r="H11" s="13" t="s">
        <v>423</v>
      </c>
      <c r="I11" s="13" t="s">
        <v>98</v>
      </c>
      <c r="J11" s="17" t="s">
        <v>13</v>
      </c>
      <c r="K11" s="15" t="n">
        <v>46295</v>
      </c>
      <c r="L11" s="13"/>
    </row>
    <row r="12" customFormat="false" ht="23.85" hidden="false" customHeight="false" outlineLevel="0" collapsed="false">
      <c r="A12" s="13" t="s">
        <v>629</v>
      </c>
      <c r="B12" s="13" t="s">
        <v>347</v>
      </c>
      <c r="C12" s="13" t="s">
        <v>645</v>
      </c>
      <c r="D12" s="13" t="s">
        <v>646</v>
      </c>
      <c r="E12" s="13" t="s">
        <v>633</v>
      </c>
      <c r="F12" s="14" t="s">
        <v>634</v>
      </c>
      <c r="G12" s="15" t="n">
        <v>46295</v>
      </c>
      <c r="H12" s="13" t="s">
        <v>423</v>
      </c>
      <c r="I12" s="13" t="s">
        <v>98</v>
      </c>
      <c r="J12" s="17" t="s">
        <v>13</v>
      </c>
      <c r="K12" s="15" t="n">
        <v>46295</v>
      </c>
      <c r="L12" s="13" t="s">
        <v>647</v>
      </c>
    </row>
    <row r="13" customFormat="false" ht="23.85" hidden="false" customHeight="false" outlineLevel="0" collapsed="false">
      <c r="A13" s="13" t="s">
        <v>584</v>
      </c>
      <c r="B13" s="13" t="s">
        <v>648</v>
      </c>
      <c r="C13" s="13" t="s">
        <v>649</v>
      </c>
      <c r="D13" s="13" t="s">
        <v>650</v>
      </c>
      <c r="E13" s="13" t="s">
        <v>627</v>
      </c>
      <c r="F13" s="14" t="s">
        <v>628</v>
      </c>
      <c r="G13" s="15" t="n">
        <v>46295</v>
      </c>
      <c r="H13" s="13" t="s">
        <v>423</v>
      </c>
      <c r="I13" s="13" t="s">
        <v>98</v>
      </c>
      <c r="J13" s="17" t="s">
        <v>13</v>
      </c>
      <c r="K13" s="15" t="n">
        <v>46295</v>
      </c>
      <c r="L13" s="13" t="s">
        <v>651</v>
      </c>
    </row>
  </sheetData>
  <autoFilter ref="A1:L13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codes.findlaw.com/fl/title-xxxvii-insurance/fl-st-sect-627-701/"/>
    <hyperlink ref="F3" r:id="rId2" display="https://www.myfloridacfo.com/division/consumers/consumerprotections/floridashurricanedeductible"/>
    <hyperlink ref="F4" r:id="rId3" display="https://www.myfloridacfo.com/division/consumers/consumerprotections/floridashurricanedeductible"/>
    <hyperlink ref="F5" r:id="rId4" display="https://www.myfloridacfo.com/division/consumers/consumerprotections/floridashurricanedeductible"/>
    <hyperlink ref="F6" r:id="rId5" display="https://codes.findlaw.com/fl/title-xxxvii-insurance/fl-st-sect-627-701/"/>
    <hyperlink ref="F7" r:id="rId6" display="https://codes.findlaw.com/fl/title-xxxvii-insurance/fl-st-sect-627-701/"/>
    <hyperlink ref="F8" r:id="rId7" display="https://coverageclassroom.com/learn/hurricane-insurance-florida-guide"/>
    <hyperlink ref="F9" r:id="rId8" display="https://coverageclassroom.com/learn/citizens-flood-insurance-requirement"/>
    <hyperlink ref="F10" r:id="rId9" display="https://www.cigflorida.com/policy-updates-for-florida-homeowners/"/>
    <hyperlink ref="F11" r:id="rId10" display="https://www.cigflorida.com/policy-updates-for-florida-homeowners/"/>
    <hyperlink ref="F12" r:id="rId11" display="https://coverageclassroom.com/learn/citizens-flood-insurance-requirement"/>
    <hyperlink ref="F13" r:id="rId12" display="https://coverageclassroom.com/learn/hurricane-insurance-florida-gui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2"/>
    <col collapsed="false" customWidth="true" hidden="false" outlineLevel="0" max="5" min="5" style="0" width="14"/>
    <col collapsed="false" customWidth="true" hidden="false" outlineLevel="0" max="6" min="6" style="0" width="28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34"/>
    <col collapsed="false" customWidth="true" hidden="false" outlineLevel="0" max="10" min="10" style="0" width="42"/>
    <col collapsed="false" customWidth="true" hidden="false" outlineLevel="0" max="11" min="11" style="0" width="12"/>
    <col collapsed="false" customWidth="true" hidden="false" outlineLevel="0" max="12" min="12" style="0" width="16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2"/>
    <col collapsed="false" customWidth="true" hidden="false" outlineLevel="0" max="16" min="16" style="0" width="60"/>
  </cols>
  <sheetData>
    <row r="1" customFormat="false" ht="31.5" hidden="false" customHeight="true" outlineLevel="0" collapsed="false">
      <c r="A1" s="12" t="s">
        <v>652</v>
      </c>
      <c r="B1" s="12" t="s">
        <v>653</v>
      </c>
      <c r="C1" s="12" t="s">
        <v>654</v>
      </c>
      <c r="D1" s="12" t="s">
        <v>655</v>
      </c>
      <c r="E1" s="12" t="s">
        <v>656</v>
      </c>
      <c r="F1" s="12" t="s">
        <v>657</v>
      </c>
      <c r="G1" s="12" t="s">
        <v>658</v>
      </c>
      <c r="H1" s="12" t="s">
        <v>659</v>
      </c>
      <c r="I1" s="12" t="s">
        <v>66</v>
      </c>
      <c r="J1" s="12" t="s">
        <v>67</v>
      </c>
      <c r="K1" s="12" t="s">
        <v>68</v>
      </c>
      <c r="L1" s="12" t="s">
        <v>69</v>
      </c>
      <c r="M1" s="12" t="s">
        <v>70</v>
      </c>
      <c r="N1" s="12" t="s">
        <v>71</v>
      </c>
      <c r="O1" s="12" t="s">
        <v>72</v>
      </c>
      <c r="P1" s="12" t="s">
        <v>73</v>
      </c>
    </row>
    <row r="2" customFormat="false" ht="15" hidden="false" customHeight="false" outlineLevel="0" collapsed="false">
      <c r="A2" s="13" t="s">
        <v>660</v>
      </c>
      <c r="B2" s="13"/>
      <c r="C2" s="13"/>
      <c r="D2" s="13"/>
      <c r="E2" s="13"/>
      <c r="F2" s="13"/>
      <c r="G2" s="13"/>
      <c r="H2" s="13"/>
      <c r="I2" s="13"/>
      <c r="J2" s="14"/>
      <c r="K2" s="15" t="n">
        <v>46295</v>
      </c>
      <c r="L2" s="13" t="s">
        <v>660</v>
      </c>
      <c r="M2" s="13" t="s">
        <v>661</v>
      </c>
      <c r="N2" s="19" t="s">
        <v>17</v>
      </c>
      <c r="O2" s="15" t="n">
        <v>46295</v>
      </c>
      <c r="P2" s="13" t="s">
        <v>662</v>
      </c>
    </row>
    <row r="3" customFormat="false" ht="23.85" hidden="false" customHeight="false" outlineLevel="0" collapsed="false">
      <c r="A3" s="13" t="s">
        <v>663</v>
      </c>
      <c r="B3" s="13" t="n">
        <v>50</v>
      </c>
      <c r="C3" s="13" t="n">
        <v>100</v>
      </c>
      <c r="D3" s="13" t="n">
        <v>25</v>
      </c>
      <c r="E3" s="13"/>
      <c r="F3" s="13"/>
      <c r="G3" s="13"/>
      <c r="H3" s="13"/>
      <c r="I3" s="13" t="s">
        <v>664</v>
      </c>
      <c r="J3" s="14" t="s">
        <v>665</v>
      </c>
      <c r="K3" s="15" t="n">
        <v>46295</v>
      </c>
      <c r="L3" s="13" t="s">
        <v>663</v>
      </c>
      <c r="M3" s="13" t="s">
        <v>98</v>
      </c>
      <c r="N3" s="17" t="s">
        <v>13</v>
      </c>
      <c r="O3" s="15" t="n">
        <v>46295</v>
      </c>
      <c r="P3" s="13" t="s">
        <v>666</v>
      </c>
    </row>
    <row r="4" customFormat="false" ht="15" hidden="false" customHeight="false" outlineLevel="0" collapsed="false">
      <c r="A4" s="13" t="s">
        <v>667</v>
      </c>
      <c r="B4" s="13"/>
      <c r="C4" s="13"/>
      <c r="D4" s="13"/>
      <c r="E4" s="13"/>
      <c r="F4" s="13"/>
      <c r="G4" s="13"/>
      <c r="H4" s="13"/>
      <c r="I4" s="13"/>
      <c r="J4" s="14"/>
      <c r="K4" s="15" t="n">
        <v>46295</v>
      </c>
      <c r="L4" s="13" t="s">
        <v>667</v>
      </c>
      <c r="M4" s="13" t="s">
        <v>661</v>
      </c>
      <c r="N4" s="19" t="s">
        <v>17</v>
      </c>
      <c r="O4" s="15" t="n">
        <v>46295</v>
      </c>
      <c r="P4" s="13" t="s">
        <v>662</v>
      </c>
    </row>
    <row r="5" customFormat="false" ht="15" hidden="false" customHeight="false" outlineLevel="0" collapsed="false">
      <c r="A5" s="13" t="s">
        <v>668</v>
      </c>
      <c r="B5" s="13"/>
      <c r="C5" s="13"/>
      <c r="D5" s="13"/>
      <c r="E5" s="13"/>
      <c r="F5" s="13"/>
      <c r="G5" s="13"/>
      <c r="H5" s="13"/>
      <c r="I5" s="13"/>
      <c r="J5" s="14"/>
      <c r="K5" s="15" t="n">
        <v>46295</v>
      </c>
      <c r="L5" s="13" t="s">
        <v>668</v>
      </c>
      <c r="M5" s="13" t="s">
        <v>661</v>
      </c>
      <c r="N5" s="19" t="s">
        <v>17</v>
      </c>
      <c r="O5" s="15" t="n">
        <v>46295</v>
      </c>
      <c r="P5" s="13" t="s">
        <v>662</v>
      </c>
    </row>
    <row r="6" customFormat="false" ht="46.25" hidden="false" customHeight="false" outlineLevel="0" collapsed="false">
      <c r="A6" s="13" t="s">
        <v>80</v>
      </c>
      <c r="B6" s="13" t="n">
        <v>30</v>
      </c>
      <c r="C6" s="13" t="n">
        <v>60</v>
      </c>
      <c r="D6" s="13" t="n">
        <v>15</v>
      </c>
      <c r="E6" s="13" t="s">
        <v>669</v>
      </c>
      <c r="F6" s="13" t="s">
        <v>670</v>
      </c>
      <c r="G6" s="13" t="s">
        <v>671</v>
      </c>
      <c r="H6" s="13" t="s">
        <v>672</v>
      </c>
      <c r="I6" s="13" t="s">
        <v>78</v>
      </c>
      <c r="J6" s="14" t="s">
        <v>79</v>
      </c>
      <c r="K6" s="15" t="n">
        <v>46295</v>
      </c>
      <c r="L6" s="13" t="s">
        <v>80</v>
      </c>
      <c r="M6" s="13" t="s">
        <v>98</v>
      </c>
      <c r="N6" s="16" t="s">
        <v>11</v>
      </c>
      <c r="O6" s="15" t="n">
        <v>46295</v>
      </c>
      <c r="P6" s="13" t="s">
        <v>673</v>
      </c>
    </row>
    <row r="7" customFormat="false" ht="15" hidden="false" customHeight="false" outlineLevel="0" collapsed="false">
      <c r="A7" s="13" t="s">
        <v>674</v>
      </c>
      <c r="B7" s="13"/>
      <c r="C7" s="13"/>
      <c r="D7" s="13"/>
      <c r="E7" s="13"/>
      <c r="F7" s="13"/>
      <c r="G7" s="13"/>
      <c r="H7" s="13"/>
      <c r="I7" s="13"/>
      <c r="J7" s="14"/>
      <c r="K7" s="15" t="n">
        <v>46295</v>
      </c>
      <c r="L7" s="13" t="s">
        <v>674</v>
      </c>
      <c r="M7" s="13" t="s">
        <v>661</v>
      </c>
      <c r="N7" s="19" t="s">
        <v>17</v>
      </c>
      <c r="O7" s="15" t="n">
        <v>46295</v>
      </c>
      <c r="P7" s="13" t="s">
        <v>662</v>
      </c>
    </row>
    <row r="8" customFormat="false" ht="15" hidden="false" customHeight="false" outlineLevel="0" collapsed="false">
      <c r="A8" s="13" t="s">
        <v>675</v>
      </c>
      <c r="B8" s="13"/>
      <c r="C8" s="13"/>
      <c r="D8" s="13"/>
      <c r="E8" s="13"/>
      <c r="F8" s="13"/>
      <c r="G8" s="13"/>
      <c r="H8" s="13"/>
      <c r="I8" s="13"/>
      <c r="J8" s="14"/>
      <c r="K8" s="15" t="n">
        <v>46295</v>
      </c>
      <c r="L8" s="13" t="s">
        <v>675</v>
      </c>
      <c r="M8" s="13" t="s">
        <v>661</v>
      </c>
      <c r="N8" s="19" t="s">
        <v>17</v>
      </c>
      <c r="O8" s="15" t="n">
        <v>46295</v>
      </c>
      <c r="P8" s="13" t="s">
        <v>662</v>
      </c>
    </row>
    <row r="9" customFormat="false" ht="15" hidden="false" customHeight="false" outlineLevel="0" collapsed="false">
      <c r="A9" s="13" t="s">
        <v>676</v>
      </c>
      <c r="B9" s="13"/>
      <c r="C9" s="13"/>
      <c r="D9" s="13"/>
      <c r="E9" s="13"/>
      <c r="F9" s="13"/>
      <c r="G9" s="13"/>
      <c r="H9" s="13"/>
      <c r="I9" s="13"/>
      <c r="J9" s="14"/>
      <c r="K9" s="15" t="n">
        <v>46295</v>
      </c>
      <c r="L9" s="13" t="s">
        <v>676</v>
      </c>
      <c r="M9" s="13" t="s">
        <v>661</v>
      </c>
      <c r="N9" s="19" t="s">
        <v>17</v>
      </c>
      <c r="O9" s="15" t="n">
        <v>46295</v>
      </c>
      <c r="P9" s="13" t="s">
        <v>662</v>
      </c>
    </row>
    <row r="10" customFormat="false" ht="23.85" hidden="false" customHeight="false" outlineLevel="0" collapsed="false">
      <c r="A10" s="13" t="s">
        <v>677</v>
      </c>
      <c r="B10" s="13"/>
      <c r="C10" s="13"/>
      <c r="D10" s="13"/>
      <c r="E10" s="13"/>
      <c r="F10" s="13"/>
      <c r="G10" s="13"/>
      <c r="H10" s="13"/>
      <c r="I10" s="13"/>
      <c r="J10" s="14"/>
      <c r="K10" s="15" t="n">
        <v>46295</v>
      </c>
      <c r="L10" s="13" t="s">
        <v>677</v>
      </c>
      <c r="M10" s="13" t="s">
        <v>661</v>
      </c>
      <c r="N10" s="19" t="s">
        <v>17</v>
      </c>
      <c r="O10" s="15" t="n">
        <v>46295</v>
      </c>
      <c r="P10" s="13" t="s">
        <v>662</v>
      </c>
    </row>
    <row r="11" customFormat="false" ht="46.25" hidden="false" customHeight="false" outlineLevel="0" collapsed="false">
      <c r="A11" s="13" t="s">
        <v>423</v>
      </c>
      <c r="B11" s="13" t="s">
        <v>678</v>
      </c>
      <c r="C11" s="13" t="s">
        <v>678</v>
      </c>
      <c r="D11" s="13" t="n">
        <v>10</v>
      </c>
      <c r="E11" s="13" t="s">
        <v>446</v>
      </c>
      <c r="F11" s="13" t="s">
        <v>679</v>
      </c>
      <c r="G11" s="13"/>
      <c r="H11" s="13"/>
      <c r="I11" s="13" t="s">
        <v>421</v>
      </c>
      <c r="J11" s="14" t="s">
        <v>422</v>
      </c>
      <c r="K11" s="15" t="n">
        <v>46295</v>
      </c>
      <c r="L11" s="13" t="s">
        <v>423</v>
      </c>
      <c r="M11" s="13" t="s">
        <v>98</v>
      </c>
      <c r="N11" s="16" t="s">
        <v>11</v>
      </c>
      <c r="O11" s="15" t="n">
        <v>46295</v>
      </c>
      <c r="P11" s="13" t="s">
        <v>680</v>
      </c>
    </row>
    <row r="12" customFormat="false" ht="15" hidden="false" customHeight="false" outlineLevel="0" collapsed="false">
      <c r="A12" s="13" t="s">
        <v>681</v>
      </c>
      <c r="B12" s="13"/>
      <c r="C12" s="13"/>
      <c r="D12" s="13"/>
      <c r="E12" s="13"/>
      <c r="F12" s="13"/>
      <c r="G12" s="13"/>
      <c r="H12" s="13"/>
      <c r="I12" s="13"/>
      <c r="J12" s="14"/>
      <c r="K12" s="15" t="n">
        <v>46295</v>
      </c>
      <c r="L12" s="13" t="s">
        <v>681</v>
      </c>
      <c r="M12" s="13" t="s">
        <v>661</v>
      </c>
      <c r="N12" s="19" t="s">
        <v>17</v>
      </c>
      <c r="O12" s="15" t="n">
        <v>46295</v>
      </c>
      <c r="P12" s="13" t="s">
        <v>662</v>
      </c>
    </row>
    <row r="13" customFormat="false" ht="23.85" hidden="false" customHeight="false" outlineLevel="0" collapsed="false">
      <c r="A13" s="13" t="s">
        <v>682</v>
      </c>
      <c r="B13" s="13" t="n">
        <v>40</v>
      </c>
      <c r="C13" s="13" t="n">
        <v>80</v>
      </c>
      <c r="D13" s="13" t="n">
        <v>20</v>
      </c>
      <c r="E13" s="13"/>
      <c r="F13" s="13"/>
      <c r="G13" s="13"/>
      <c r="H13" s="13" t="s">
        <v>683</v>
      </c>
      <c r="I13" s="13" t="s">
        <v>684</v>
      </c>
      <c r="J13" s="14" t="s">
        <v>685</v>
      </c>
      <c r="K13" s="15" t="n">
        <v>46295</v>
      </c>
      <c r="L13" s="13" t="s">
        <v>682</v>
      </c>
      <c r="M13" s="13" t="s">
        <v>98</v>
      </c>
      <c r="N13" s="17" t="s">
        <v>13</v>
      </c>
      <c r="O13" s="15" t="n">
        <v>46295</v>
      </c>
      <c r="P13" s="13" t="s">
        <v>686</v>
      </c>
    </row>
    <row r="14" customFormat="false" ht="15" hidden="false" customHeight="false" outlineLevel="0" collapsed="false">
      <c r="A14" s="13" t="s">
        <v>687</v>
      </c>
      <c r="B14" s="13"/>
      <c r="C14" s="13"/>
      <c r="D14" s="13"/>
      <c r="E14" s="13"/>
      <c r="F14" s="13"/>
      <c r="G14" s="13"/>
      <c r="H14" s="13"/>
      <c r="I14" s="13"/>
      <c r="J14" s="14"/>
      <c r="K14" s="15" t="n">
        <v>46295</v>
      </c>
      <c r="L14" s="13" t="s">
        <v>687</v>
      </c>
      <c r="M14" s="13" t="s">
        <v>661</v>
      </c>
      <c r="N14" s="19" t="s">
        <v>17</v>
      </c>
      <c r="O14" s="15" t="n">
        <v>46295</v>
      </c>
      <c r="P14" s="13" t="s">
        <v>662</v>
      </c>
    </row>
    <row r="15" customFormat="false" ht="15" hidden="false" customHeight="false" outlineLevel="0" collapsed="false">
      <c r="A15" s="13" t="s">
        <v>688</v>
      </c>
      <c r="B15" s="13"/>
      <c r="C15" s="13"/>
      <c r="D15" s="13"/>
      <c r="E15" s="13"/>
      <c r="F15" s="13"/>
      <c r="G15" s="13"/>
      <c r="H15" s="13"/>
      <c r="I15" s="13"/>
      <c r="J15" s="14"/>
      <c r="K15" s="15" t="n">
        <v>46295</v>
      </c>
      <c r="L15" s="13" t="s">
        <v>688</v>
      </c>
      <c r="M15" s="13" t="s">
        <v>661</v>
      </c>
      <c r="N15" s="19" t="s">
        <v>17</v>
      </c>
      <c r="O15" s="15" t="n">
        <v>46295</v>
      </c>
      <c r="P15" s="13" t="s">
        <v>662</v>
      </c>
    </row>
    <row r="16" customFormat="false" ht="15" hidden="false" customHeight="false" outlineLevel="0" collapsed="false">
      <c r="A16" s="13" t="s">
        <v>689</v>
      </c>
      <c r="B16" s="13"/>
      <c r="C16" s="13"/>
      <c r="D16" s="13"/>
      <c r="E16" s="13"/>
      <c r="F16" s="13"/>
      <c r="G16" s="13"/>
      <c r="H16" s="13"/>
      <c r="I16" s="13"/>
      <c r="J16" s="14"/>
      <c r="K16" s="15" t="n">
        <v>46295</v>
      </c>
      <c r="L16" s="13" t="s">
        <v>689</v>
      </c>
      <c r="M16" s="13" t="s">
        <v>661</v>
      </c>
      <c r="N16" s="19" t="s">
        <v>17</v>
      </c>
      <c r="O16" s="15" t="n">
        <v>46295</v>
      </c>
      <c r="P16" s="13" t="s">
        <v>662</v>
      </c>
    </row>
    <row r="17" customFormat="false" ht="23.85" hidden="false" customHeight="false" outlineLevel="0" collapsed="false">
      <c r="A17" s="13" t="s">
        <v>690</v>
      </c>
      <c r="B17" s="13" t="n">
        <v>20</v>
      </c>
      <c r="C17" s="13" t="n">
        <v>40</v>
      </c>
      <c r="D17" s="13" t="n">
        <v>15</v>
      </c>
      <c r="E17" s="13"/>
      <c r="F17" s="13"/>
      <c r="G17" s="13"/>
      <c r="H17" s="13"/>
      <c r="I17" s="13" t="s">
        <v>691</v>
      </c>
      <c r="J17" s="14" t="s">
        <v>692</v>
      </c>
      <c r="K17" s="15" t="n">
        <v>46295</v>
      </c>
      <c r="L17" s="13" t="s">
        <v>690</v>
      </c>
      <c r="M17" s="13" t="s">
        <v>98</v>
      </c>
      <c r="N17" s="17" t="s">
        <v>13</v>
      </c>
      <c r="O17" s="15" t="n">
        <v>46295</v>
      </c>
      <c r="P17" s="13" t="s">
        <v>693</v>
      </c>
    </row>
    <row r="18" customFormat="false" ht="15" hidden="false" customHeight="false" outlineLevel="0" collapsed="false">
      <c r="A18" s="13" t="s">
        <v>694</v>
      </c>
      <c r="B18" s="13"/>
      <c r="C18" s="13"/>
      <c r="D18" s="13"/>
      <c r="E18" s="13"/>
      <c r="F18" s="13"/>
      <c r="G18" s="13"/>
      <c r="H18" s="13"/>
      <c r="I18" s="13"/>
      <c r="J18" s="14"/>
      <c r="K18" s="15" t="n">
        <v>46295</v>
      </c>
      <c r="L18" s="13" t="s">
        <v>694</v>
      </c>
      <c r="M18" s="13" t="s">
        <v>661</v>
      </c>
      <c r="N18" s="19" t="s">
        <v>17</v>
      </c>
      <c r="O18" s="15" t="n">
        <v>46295</v>
      </c>
      <c r="P18" s="13" t="s">
        <v>662</v>
      </c>
    </row>
    <row r="19" customFormat="false" ht="23.85" hidden="false" customHeight="false" outlineLevel="0" collapsed="false">
      <c r="A19" s="13" t="s">
        <v>695</v>
      </c>
      <c r="B19" s="13" t="n">
        <v>25</v>
      </c>
      <c r="C19" s="13" t="n">
        <v>50</v>
      </c>
      <c r="D19" s="13" t="n">
        <v>25</v>
      </c>
      <c r="E19" s="13"/>
      <c r="F19" s="13" t="s">
        <v>696</v>
      </c>
      <c r="G19" s="13"/>
      <c r="H19" s="13"/>
      <c r="I19" s="13" t="s">
        <v>697</v>
      </c>
      <c r="J19" s="14" t="s">
        <v>698</v>
      </c>
      <c r="K19" s="15" t="n">
        <v>46295</v>
      </c>
      <c r="L19" s="13" t="s">
        <v>695</v>
      </c>
      <c r="M19" s="13" t="s">
        <v>98</v>
      </c>
      <c r="N19" s="17" t="s">
        <v>13</v>
      </c>
      <c r="O19" s="15" t="n">
        <v>46295</v>
      </c>
      <c r="P19" s="13"/>
    </row>
    <row r="20" customFormat="false" ht="23.85" hidden="false" customHeight="false" outlineLevel="0" collapsed="false">
      <c r="A20" s="13" t="s">
        <v>699</v>
      </c>
      <c r="B20" s="13" t="n">
        <v>15</v>
      </c>
      <c r="C20" s="13" t="n">
        <v>30</v>
      </c>
      <c r="D20" s="13" t="n">
        <v>25</v>
      </c>
      <c r="E20" s="13"/>
      <c r="F20" s="13"/>
      <c r="G20" s="13"/>
      <c r="H20" s="13"/>
      <c r="I20" s="13" t="s">
        <v>691</v>
      </c>
      <c r="J20" s="14" t="s">
        <v>692</v>
      </c>
      <c r="K20" s="15" t="n">
        <v>46295</v>
      </c>
      <c r="L20" s="13" t="s">
        <v>699</v>
      </c>
      <c r="M20" s="13" t="s">
        <v>98</v>
      </c>
      <c r="N20" s="17" t="s">
        <v>13</v>
      </c>
      <c r="O20" s="15" t="n">
        <v>46295</v>
      </c>
      <c r="P20" s="13" t="s">
        <v>693</v>
      </c>
    </row>
    <row r="21" customFormat="false" ht="23.85" hidden="false" customHeight="false" outlineLevel="0" collapsed="false">
      <c r="A21" s="13" t="s">
        <v>700</v>
      </c>
      <c r="B21" s="13" t="n">
        <v>50</v>
      </c>
      <c r="C21" s="13" t="n">
        <v>100</v>
      </c>
      <c r="D21" s="13" t="n">
        <v>25</v>
      </c>
      <c r="E21" s="13"/>
      <c r="F21" s="13" t="s">
        <v>701</v>
      </c>
      <c r="G21" s="13"/>
      <c r="H21" s="13"/>
      <c r="I21" s="13" t="s">
        <v>664</v>
      </c>
      <c r="J21" s="14" t="s">
        <v>665</v>
      </c>
      <c r="K21" s="15" t="n">
        <v>46295</v>
      </c>
      <c r="L21" s="13" t="s">
        <v>700</v>
      </c>
      <c r="M21" s="13" t="s">
        <v>98</v>
      </c>
      <c r="N21" s="17" t="s">
        <v>13</v>
      </c>
      <c r="O21" s="15" t="n">
        <v>46295</v>
      </c>
      <c r="P21" s="13"/>
    </row>
    <row r="22" customFormat="false" ht="15" hidden="false" customHeight="false" outlineLevel="0" collapsed="false">
      <c r="A22" s="13" t="s">
        <v>702</v>
      </c>
      <c r="B22" s="13"/>
      <c r="C22" s="13"/>
      <c r="D22" s="13"/>
      <c r="E22" s="13"/>
      <c r="F22" s="13"/>
      <c r="G22" s="13"/>
      <c r="H22" s="13"/>
      <c r="I22" s="13"/>
      <c r="J22" s="14"/>
      <c r="K22" s="15" t="n">
        <v>46295</v>
      </c>
      <c r="L22" s="13" t="s">
        <v>702</v>
      </c>
      <c r="M22" s="13" t="s">
        <v>661</v>
      </c>
      <c r="N22" s="19" t="s">
        <v>17</v>
      </c>
      <c r="O22" s="15" t="n">
        <v>46295</v>
      </c>
      <c r="P22" s="13" t="s">
        <v>662</v>
      </c>
    </row>
    <row r="23" customFormat="false" ht="15" hidden="false" customHeight="false" outlineLevel="0" collapsed="false">
      <c r="A23" s="13" t="s">
        <v>703</v>
      </c>
      <c r="B23" s="13"/>
      <c r="C23" s="13"/>
      <c r="D23" s="13"/>
      <c r="E23" s="13"/>
      <c r="F23" s="13"/>
      <c r="G23" s="13"/>
      <c r="H23" s="13"/>
      <c r="I23" s="13"/>
      <c r="J23" s="14"/>
      <c r="K23" s="15" t="n">
        <v>46295</v>
      </c>
      <c r="L23" s="13" t="s">
        <v>703</v>
      </c>
      <c r="M23" s="13" t="s">
        <v>661</v>
      </c>
      <c r="N23" s="19" t="s">
        <v>17</v>
      </c>
      <c r="O23" s="15" t="n">
        <v>46295</v>
      </c>
      <c r="P23" s="13" t="s">
        <v>662</v>
      </c>
    </row>
    <row r="24" customFormat="false" ht="35.05" hidden="false" customHeight="false" outlineLevel="0" collapsed="false">
      <c r="A24" s="13" t="s">
        <v>704</v>
      </c>
      <c r="B24" s="13" t="n">
        <v>50</v>
      </c>
      <c r="C24" s="13" t="n">
        <v>100</v>
      </c>
      <c r="D24" s="13" t="s">
        <v>705</v>
      </c>
      <c r="E24" s="13" t="s">
        <v>446</v>
      </c>
      <c r="F24" s="13" t="s">
        <v>706</v>
      </c>
      <c r="G24" s="13"/>
      <c r="H24" s="13"/>
      <c r="I24" s="13" t="s">
        <v>691</v>
      </c>
      <c r="J24" s="14" t="s">
        <v>692</v>
      </c>
      <c r="K24" s="15" t="n">
        <v>46295</v>
      </c>
      <c r="L24" s="13" t="s">
        <v>704</v>
      </c>
      <c r="M24" s="13" t="s">
        <v>98</v>
      </c>
      <c r="N24" s="17" t="s">
        <v>13</v>
      </c>
      <c r="O24" s="15" t="n">
        <v>46295</v>
      </c>
      <c r="P24" s="13" t="s">
        <v>707</v>
      </c>
    </row>
    <row r="25" customFormat="false" ht="15" hidden="false" customHeight="false" outlineLevel="0" collapsed="false">
      <c r="A25" s="13" t="s">
        <v>708</v>
      </c>
      <c r="B25" s="13"/>
      <c r="C25" s="13"/>
      <c r="D25" s="13"/>
      <c r="E25" s="13"/>
      <c r="F25" s="13"/>
      <c r="G25" s="13"/>
      <c r="H25" s="13"/>
      <c r="I25" s="13"/>
      <c r="J25" s="14"/>
      <c r="K25" s="15" t="n">
        <v>46295</v>
      </c>
      <c r="L25" s="13" t="s">
        <v>708</v>
      </c>
      <c r="M25" s="13" t="s">
        <v>661</v>
      </c>
      <c r="N25" s="19" t="s">
        <v>17</v>
      </c>
      <c r="O25" s="15" t="n">
        <v>46295</v>
      </c>
      <c r="P25" s="13" t="s">
        <v>662</v>
      </c>
    </row>
    <row r="26" customFormat="false" ht="15" hidden="false" customHeight="false" outlineLevel="0" collapsed="false">
      <c r="A26" s="13" t="s">
        <v>709</v>
      </c>
      <c r="B26" s="13"/>
      <c r="C26" s="13"/>
      <c r="D26" s="13"/>
      <c r="E26" s="13"/>
      <c r="F26" s="13"/>
      <c r="G26" s="13"/>
      <c r="H26" s="13"/>
      <c r="I26" s="13"/>
      <c r="J26" s="14"/>
      <c r="K26" s="15" t="n">
        <v>46295</v>
      </c>
      <c r="L26" s="13" t="s">
        <v>709</v>
      </c>
      <c r="M26" s="13" t="s">
        <v>661</v>
      </c>
      <c r="N26" s="19" t="s">
        <v>17</v>
      </c>
      <c r="O26" s="15" t="n">
        <v>46295</v>
      </c>
      <c r="P26" s="13" t="s">
        <v>662</v>
      </c>
    </row>
    <row r="27" customFormat="false" ht="15" hidden="false" customHeight="false" outlineLevel="0" collapsed="false">
      <c r="A27" s="13" t="s">
        <v>710</v>
      </c>
      <c r="B27" s="13"/>
      <c r="C27" s="13"/>
      <c r="D27" s="13"/>
      <c r="E27" s="13"/>
      <c r="F27" s="13"/>
      <c r="G27" s="13"/>
      <c r="H27" s="13"/>
      <c r="I27" s="13"/>
      <c r="J27" s="14"/>
      <c r="K27" s="15" t="n">
        <v>46295</v>
      </c>
      <c r="L27" s="13" t="s">
        <v>710</v>
      </c>
      <c r="M27" s="13" t="s">
        <v>661</v>
      </c>
      <c r="N27" s="19" t="s">
        <v>17</v>
      </c>
      <c r="O27" s="15" t="n">
        <v>46295</v>
      </c>
      <c r="P27" s="13" t="s">
        <v>662</v>
      </c>
    </row>
    <row r="28" customFormat="false" ht="15" hidden="false" customHeight="false" outlineLevel="0" collapsed="false">
      <c r="A28" s="13" t="s">
        <v>711</v>
      </c>
      <c r="B28" s="13"/>
      <c r="C28" s="13"/>
      <c r="D28" s="13"/>
      <c r="E28" s="13"/>
      <c r="F28" s="13"/>
      <c r="G28" s="13"/>
      <c r="H28" s="13"/>
      <c r="I28" s="13"/>
      <c r="J28" s="14"/>
      <c r="K28" s="15" t="n">
        <v>46295</v>
      </c>
      <c r="L28" s="13" t="s">
        <v>711</v>
      </c>
      <c r="M28" s="13" t="s">
        <v>661</v>
      </c>
      <c r="N28" s="19" t="s">
        <v>17</v>
      </c>
      <c r="O28" s="15" t="n">
        <v>46295</v>
      </c>
      <c r="P28" s="13" t="s">
        <v>662</v>
      </c>
    </row>
    <row r="29" customFormat="false" ht="15" hidden="false" customHeight="false" outlineLevel="0" collapsed="false">
      <c r="A29" s="13" t="s">
        <v>712</v>
      </c>
      <c r="B29" s="13"/>
      <c r="C29" s="13"/>
      <c r="D29" s="13"/>
      <c r="E29" s="13"/>
      <c r="F29" s="13"/>
      <c r="G29" s="13"/>
      <c r="H29" s="13"/>
      <c r="I29" s="13"/>
      <c r="J29" s="14"/>
      <c r="K29" s="15" t="n">
        <v>46295</v>
      </c>
      <c r="L29" s="13" t="s">
        <v>712</v>
      </c>
      <c r="M29" s="13" t="s">
        <v>661</v>
      </c>
      <c r="N29" s="19" t="s">
        <v>17</v>
      </c>
      <c r="O29" s="15" t="n">
        <v>46295</v>
      </c>
      <c r="P29" s="13" t="s">
        <v>662</v>
      </c>
    </row>
    <row r="30" customFormat="false" ht="15" hidden="false" customHeight="false" outlineLevel="0" collapsed="false">
      <c r="A30" s="13" t="s">
        <v>713</v>
      </c>
      <c r="B30" s="13"/>
      <c r="C30" s="13"/>
      <c r="D30" s="13"/>
      <c r="E30" s="13"/>
      <c r="F30" s="13"/>
      <c r="G30" s="13"/>
      <c r="H30" s="13"/>
      <c r="I30" s="13"/>
      <c r="J30" s="14"/>
      <c r="K30" s="15" t="n">
        <v>46295</v>
      </c>
      <c r="L30" s="13" t="s">
        <v>713</v>
      </c>
      <c r="M30" s="13" t="s">
        <v>661</v>
      </c>
      <c r="N30" s="19" t="s">
        <v>17</v>
      </c>
      <c r="O30" s="15" t="n">
        <v>46295</v>
      </c>
      <c r="P30" s="13" t="s">
        <v>662</v>
      </c>
    </row>
    <row r="31" customFormat="false" ht="23.85" hidden="false" customHeight="false" outlineLevel="0" collapsed="false">
      <c r="A31" s="13" t="s">
        <v>714</v>
      </c>
      <c r="B31" s="13" t="s">
        <v>715</v>
      </c>
      <c r="C31" s="13" t="s">
        <v>715</v>
      </c>
      <c r="D31" s="13" t="s">
        <v>715</v>
      </c>
      <c r="E31" s="13"/>
      <c r="F31" s="13"/>
      <c r="G31" s="13"/>
      <c r="H31" s="13"/>
      <c r="I31" s="13" t="s">
        <v>716</v>
      </c>
      <c r="J31" s="14" t="s">
        <v>717</v>
      </c>
      <c r="K31" s="15" t="n">
        <v>46295</v>
      </c>
      <c r="L31" s="13" t="s">
        <v>714</v>
      </c>
      <c r="M31" s="13" t="s">
        <v>98</v>
      </c>
      <c r="N31" s="17" t="s">
        <v>13</v>
      </c>
      <c r="O31" s="15" t="n">
        <v>46295</v>
      </c>
      <c r="P31" s="13" t="s">
        <v>718</v>
      </c>
    </row>
    <row r="32" customFormat="false" ht="35.05" hidden="false" customHeight="false" outlineLevel="0" collapsed="false">
      <c r="A32" s="13" t="s">
        <v>719</v>
      </c>
      <c r="B32" s="13" t="n">
        <v>35</v>
      </c>
      <c r="C32" s="13" t="n">
        <v>70</v>
      </c>
      <c r="D32" s="13" t="n">
        <v>25</v>
      </c>
      <c r="E32" s="13"/>
      <c r="F32" s="13"/>
      <c r="G32" s="13" t="s">
        <v>720</v>
      </c>
      <c r="H32" s="13" t="s">
        <v>721</v>
      </c>
      <c r="I32" s="13" t="s">
        <v>96</v>
      </c>
      <c r="J32" s="14" t="s">
        <v>97</v>
      </c>
      <c r="K32" s="15" t="n">
        <v>46295</v>
      </c>
      <c r="L32" s="13" t="s">
        <v>719</v>
      </c>
      <c r="M32" s="13" t="s">
        <v>98</v>
      </c>
      <c r="N32" s="18" t="s">
        <v>15</v>
      </c>
      <c r="O32" s="15" t="n">
        <v>46295</v>
      </c>
      <c r="P32" s="13" t="s">
        <v>722</v>
      </c>
    </row>
    <row r="33" customFormat="false" ht="15" hidden="false" customHeight="false" outlineLevel="0" collapsed="false">
      <c r="A33" s="13" t="s">
        <v>723</v>
      </c>
      <c r="B33" s="13"/>
      <c r="C33" s="13"/>
      <c r="D33" s="13"/>
      <c r="E33" s="13"/>
      <c r="F33" s="13"/>
      <c r="G33" s="13"/>
      <c r="H33" s="13"/>
      <c r="I33" s="13"/>
      <c r="J33" s="14"/>
      <c r="K33" s="15" t="n">
        <v>46295</v>
      </c>
      <c r="L33" s="13" t="s">
        <v>723</v>
      </c>
      <c r="M33" s="13" t="s">
        <v>661</v>
      </c>
      <c r="N33" s="19" t="s">
        <v>17</v>
      </c>
      <c r="O33" s="15" t="n">
        <v>46295</v>
      </c>
      <c r="P33" s="13" t="s">
        <v>662</v>
      </c>
    </row>
    <row r="34" customFormat="false" ht="46.25" hidden="false" customHeight="false" outlineLevel="0" collapsed="false">
      <c r="A34" s="13" t="s">
        <v>482</v>
      </c>
      <c r="B34" s="13" t="n">
        <v>25</v>
      </c>
      <c r="C34" s="13" t="n">
        <v>50</v>
      </c>
      <c r="D34" s="13" t="n">
        <v>10</v>
      </c>
      <c r="E34" s="13" t="s">
        <v>446</v>
      </c>
      <c r="F34" s="13" t="s">
        <v>724</v>
      </c>
      <c r="G34" s="13" t="s">
        <v>725</v>
      </c>
      <c r="H34" s="13" t="s">
        <v>726</v>
      </c>
      <c r="I34" s="13" t="s">
        <v>480</v>
      </c>
      <c r="J34" s="14" t="s">
        <v>481</v>
      </c>
      <c r="K34" s="15" t="n">
        <v>46295</v>
      </c>
      <c r="L34" s="13" t="s">
        <v>482</v>
      </c>
      <c r="M34" s="13" t="s">
        <v>98</v>
      </c>
      <c r="N34" s="16" t="s">
        <v>11</v>
      </c>
      <c r="O34" s="15" t="n">
        <v>46295</v>
      </c>
      <c r="P34" s="13" t="s">
        <v>727</v>
      </c>
    </row>
    <row r="35" customFormat="false" ht="23.85" hidden="false" customHeight="false" outlineLevel="0" collapsed="false">
      <c r="A35" s="13" t="s">
        <v>728</v>
      </c>
      <c r="B35" s="13" t="n">
        <v>50</v>
      </c>
      <c r="C35" s="13" t="n">
        <v>100</v>
      </c>
      <c r="D35" s="13" t="n">
        <v>50</v>
      </c>
      <c r="E35" s="13"/>
      <c r="F35" s="13"/>
      <c r="G35" s="13"/>
      <c r="H35" s="13" t="s">
        <v>729</v>
      </c>
      <c r="I35" s="13" t="s">
        <v>96</v>
      </c>
      <c r="J35" s="14" t="s">
        <v>97</v>
      </c>
      <c r="K35" s="15" t="n">
        <v>46295</v>
      </c>
      <c r="L35" s="13" t="s">
        <v>728</v>
      </c>
      <c r="M35" s="13" t="s">
        <v>98</v>
      </c>
      <c r="N35" s="17" t="s">
        <v>13</v>
      </c>
      <c r="O35" s="15" t="n">
        <v>46295</v>
      </c>
      <c r="P35" s="13"/>
    </row>
    <row r="36" customFormat="false" ht="15" hidden="false" customHeight="false" outlineLevel="0" collapsed="false">
      <c r="A36" s="13" t="s">
        <v>730</v>
      </c>
      <c r="B36" s="13"/>
      <c r="C36" s="13"/>
      <c r="D36" s="13"/>
      <c r="E36" s="13"/>
      <c r="F36" s="13"/>
      <c r="G36" s="13"/>
      <c r="H36" s="13"/>
      <c r="I36" s="13"/>
      <c r="J36" s="14"/>
      <c r="K36" s="15" t="n">
        <v>46295</v>
      </c>
      <c r="L36" s="13" t="s">
        <v>730</v>
      </c>
      <c r="M36" s="13" t="s">
        <v>661</v>
      </c>
      <c r="N36" s="19" t="s">
        <v>17</v>
      </c>
      <c r="O36" s="15" t="n">
        <v>46295</v>
      </c>
      <c r="P36" s="13" t="s">
        <v>662</v>
      </c>
    </row>
    <row r="37" customFormat="false" ht="15" hidden="false" customHeight="false" outlineLevel="0" collapsed="false">
      <c r="A37" s="13" t="s">
        <v>731</v>
      </c>
      <c r="B37" s="13"/>
      <c r="C37" s="13"/>
      <c r="D37" s="13"/>
      <c r="E37" s="13"/>
      <c r="F37" s="13"/>
      <c r="G37" s="13"/>
      <c r="H37" s="13"/>
      <c r="I37" s="13"/>
      <c r="J37" s="14"/>
      <c r="K37" s="15" t="n">
        <v>46295</v>
      </c>
      <c r="L37" s="13" t="s">
        <v>731</v>
      </c>
      <c r="M37" s="13" t="s">
        <v>661</v>
      </c>
      <c r="N37" s="19" t="s">
        <v>17</v>
      </c>
      <c r="O37" s="15" t="n">
        <v>46295</v>
      </c>
      <c r="P37" s="13" t="s">
        <v>662</v>
      </c>
    </row>
    <row r="38" customFormat="false" ht="15" hidden="false" customHeight="false" outlineLevel="0" collapsed="false">
      <c r="A38" s="13" t="s">
        <v>732</v>
      </c>
      <c r="B38" s="13"/>
      <c r="C38" s="13"/>
      <c r="D38" s="13"/>
      <c r="E38" s="13"/>
      <c r="F38" s="13"/>
      <c r="G38" s="13"/>
      <c r="H38" s="13"/>
      <c r="I38" s="13"/>
      <c r="J38" s="14"/>
      <c r="K38" s="15" t="n">
        <v>46295</v>
      </c>
      <c r="L38" s="13" t="s">
        <v>732</v>
      </c>
      <c r="M38" s="13" t="s">
        <v>661</v>
      </c>
      <c r="N38" s="19" t="s">
        <v>17</v>
      </c>
      <c r="O38" s="15" t="n">
        <v>46295</v>
      </c>
      <c r="P38" s="13" t="s">
        <v>662</v>
      </c>
    </row>
    <row r="39" customFormat="false" ht="15" hidden="false" customHeight="false" outlineLevel="0" collapsed="false">
      <c r="A39" s="13" t="s">
        <v>733</v>
      </c>
      <c r="B39" s="13"/>
      <c r="C39" s="13"/>
      <c r="D39" s="13"/>
      <c r="E39" s="13"/>
      <c r="F39" s="13"/>
      <c r="G39" s="13"/>
      <c r="H39" s="13"/>
      <c r="I39" s="13"/>
      <c r="J39" s="14"/>
      <c r="K39" s="15" t="n">
        <v>46295</v>
      </c>
      <c r="L39" s="13" t="s">
        <v>733</v>
      </c>
      <c r="M39" s="13" t="s">
        <v>661</v>
      </c>
      <c r="N39" s="19" t="s">
        <v>17</v>
      </c>
      <c r="O39" s="15" t="n">
        <v>46295</v>
      </c>
      <c r="P39" s="13" t="s">
        <v>662</v>
      </c>
    </row>
    <row r="40" customFormat="false" ht="23.85" hidden="false" customHeight="false" outlineLevel="0" collapsed="false">
      <c r="A40" s="13" t="s">
        <v>734</v>
      </c>
      <c r="B40" s="13" t="s">
        <v>705</v>
      </c>
      <c r="C40" s="13" t="s">
        <v>705</v>
      </c>
      <c r="D40" s="13" t="s">
        <v>705</v>
      </c>
      <c r="E40" s="13"/>
      <c r="F40" s="13" t="s">
        <v>701</v>
      </c>
      <c r="G40" s="13"/>
      <c r="H40" s="13"/>
      <c r="I40" s="13" t="s">
        <v>684</v>
      </c>
      <c r="J40" s="14" t="s">
        <v>685</v>
      </c>
      <c r="K40" s="15" t="n">
        <v>46295</v>
      </c>
      <c r="L40" s="13" t="s">
        <v>734</v>
      </c>
      <c r="M40" s="13" t="s">
        <v>98</v>
      </c>
      <c r="N40" s="17" t="s">
        <v>13</v>
      </c>
      <c r="O40" s="15" t="n">
        <v>46295</v>
      </c>
      <c r="P40" s="13" t="s">
        <v>735</v>
      </c>
    </row>
    <row r="41" customFormat="false" ht="15" hidden="false" customHeight="false" outlineLevel="0" collapsed="false">
      <c r="A41" s="13" t="s">
        <v>736</v>
      </c>
      <c r="B41" s="13"/>
      <c r="C41" s="13"/>
      <c r="D41" s="13"/>
      <c r="E41" s="13"/>
      <c r="F41" s="13"/>
      <c r="G41" s="13"/>
      <c r="H41" s="13"/>
      <c r="I41" s="13"/>
      <c r="J41" s="14"/>
      <c r="K41" s="15" t="n">
        <v>46295</v>
      </c>
      <c r="L41" s="13" t="s">
        <v>736</v>
      </c>
      <c r="M41" s="13" t="s">
        <v>661</v>
      </c>
      <c r="N41" s="19" t="s">
        <v>17</v>
      </c>
      <c r="O41" s="15" t="n">
        <v>46295</v>
      </c>
      <c r="P41" s="13" t="s">
        <v>662</v>
      </c>
    </row>
    <row r="42" customFormat="false" ht="15" hidden="false" customHeight="false" outlineLevel="0" collapsed="false">
      <c r="A42" s="13" t="s">
        <v>737</v>
      </c>
      <c r="B42" s="13"/>
      <c r="C42" s="13"/>
      <c r="D42" s="13"/>
      <c r="E42" s="13"/>
      <c r="F42" s="13"/>
      <c r="G42" s="13"/>
      <c r="H42" s="13"/>
      <c r="I42" s="13"/>
      <c r="J42" s="14"/>
      <c r="K42" s="15" t="n">
        <v>46295</v>
      </c>
      <c r="L42" s="13" t="s">
        <v>737</v>
      </c>
      <c r="M42" s="13" t="s">
        <v>661</v>
      </c>
      <c r="N42" s="19" t="s">
        <v>17</v>
      </c>
      <c r="O42" s="15" t="n">
        <v>46295</v>
      </c>
      <c r="P42" s="13" t="s">
        <v>662</v>
      </c>
    </row>
    <row r="43" customFormat="false" ht="15" hidden="false" customHeight="false" outlineLevel="0" collapsed="false">
      <c r="A43" s="13" t="s">
        <v>738</v>
      </c>
      <c r="B43" s="13"/>
      <c r="C43" s="13"/>
      <c r="D43" s="13"/>
      <c r="E43" s="13"/>
      <c r="F43" s="13"/>
      <c r="G43" s="13"/>
      <c r="H43" s="13"/>
      <c r="I43" s="13"/>
      <c r="J43" s="14"/>
      <c r="K43" s="15" t="n">
        <v>46295</v>
      </c>
      <c r="L43" s="13" t="s">
        <v>738</v>
      </c>
      <c r="M43" s="13" t="s">
        <v>661</v>
      </c>
      <c r="N43" s="19" t="s">
        <v>17</v>
      </c>
      <c r="O43" s="15" t="n">
        <v>46295</v>
      </c>
      <c r="P43" s="13" t="s">
        <v>662</v>
      </c>
    </row>
    <row r="44" customFormat="false" ht="23.85" hidden="false" customHeight="false" outlineLevel="0" collapsed="false">
      <c r="A44" s="13" t="s">
        <v>739</v>
      </c>
      <c r="B44" s="13" t="n">
        <v>25</v>
      </c>
      <c r="C44" s="13" t="n">
        <v>50</v>
      </c>
      <c r="D44" s="13" t="n">
        <v>25</v>
      </c>
      <c r="E44" s="13"/>
      <c r="F44" s="13"/>
      <c r="G44" s="13"/>
      <c r="H44" s="13"/>
      <c r="I44" s="13" t="s">
        <v>697</v>
      </c>
      <c r="J44" s="14" t="s">
        <v>698</v>
      </c>
      <c r="K44" s="15" t="n">
        <v>46295</v>
      </c>
      <c r="L44" s="13" t="s">
        <v>739</v>
      </c>
      <c r="M44" s="13" t="s">
        <v>98</v>
      </c>
      <c r="N44" s="17" t="s">
        <v>13</v>
      </c>
      <c r="O44" s="15" t="n">
        <v>46295</v>
      </c>
      <c r="P44" s="13"/>
    </row>
    <row r="45" customFormat="false" ht="35.05" hidden="false" customHeight="false" outlineLevel="0" collapsed="false">
      <c r="A45" s="13" t="s">
        <v>374</v>
      </c>
      <c r="B45" s="13" t="n">
        <v>30</v>
      </c>
      <c r="C45" s="13" t="n">
        <v>60</v>
      </c>
      <c r="D45" s="13" t="n">
        <v>25</v>
      </c>
      <c r="E45" s="13"/>
      <c r="F45" s="13" t="s">
        <v>740</v>
      </c>
      <c r="G45" s="13" t="s">
        <v>741</v>
      </c>
      <c r="H45" s="13"/>
      <c r="I45" s="13" t="s">
        <v>372</v>
      </c>
      <c r="J45" s="14" t="s">
        <v>373</v>
      </c>
      <c r="K45" s="15" t="n">
        <v>46295</v>
      </c>
      <c r="L45" s="13" t="s">
        <v>374</v>
      </c>
      <c r="M45" s="13" t="s">
        <v>98</v>
      </c>
      <c r="N45" s="16" t="s">
        <v>11</v>
      </c>
      <c r="O45" s="15" t="n">
        <v>46295</v>
      </c>
      <c r="P45" s="13" t="s">
        <v>742</v>
      </c>
    </row>
    <row r="46" customFormat="false" ht="23.85" hidden="false" customHeight="false" outlineLevel="0" collapsed="false">
      <c r="A46" s="13" t="s">
        <v>743</v>
      </c>
      <c r="B46" s="13" t="n">
        <v>30</v>
      </c>
      <c r="C46" s="13" t="n">
        <v>65</v>
      </c>
      <c r="D46" s="13" t="n">
        <v>25</v>
      </c>
      <c r="E46" s="13"/>
      <c r="F46" s="13"/>
      <c r="G46" s="13"/>
      <c r="H46" s="13" t="s">
        <v>729</v>
      </c>
      <c r="I46" s="13" t="s">
        <v>96</v>
      </c>
      <c r="J46" s="14" t="s">
        <v>97</v>
      </c>
      <c r="K46" s="15" t="n">
        <v>46295</v>
      </c>
      <c r="L46" s="13" t="s">
        <v>743</v>
      </c>
      <c r="M46" s="13" t="s">
        <v>98</v>
      </c>
      <c r="N46" s="17" t="s">
        <v>13</v>
      </c>
      <c r="O46" s="15" t="n">
        <v>46295</v>
      </c>
      <c r="P46" s="13"/>
    </row>
    <row r="47" customFormat="false" ht="23.85" hidden="false" customHeight="false" outlineLevel="0" collapsed="false">
      <c r="A47" s="13" t="s">
        <v>744</v>
      </c>
      <c r="B47" s="13" t="n">
        <v>25</v>
      </c>
      <c r="C47" s="13" t="n">
        <v>50</v>
      </c>
      <c r="D47" s="13" t="n">
        <v>10</v>
      </c>
      <c r="E47" s="13"/>
      <c r="F47" s="13"/>
      <c r="G47" s="13" t="s">
        <v>745</v>
      </c>
      <c r="H47" s="13"/>
      <c r="I47" s="13" t="s">
        <v>697</v>
      </c>
      <c r="J47" s="14" t="s">
        <v>698</v>
      </c>
      <c r="K47" s="15" t="n">
        <v>46295</v>
      </c>
      <c r="L47" s="13" t="s">
        <v>744</v>
      </c>
      <c r="M47" s="13" t="s">
        <v>98</v>
      </c>
      <c r="N47" s="17" t="s">
        <v>13</v>
      </c>
      <c r="O47" s="15" t="n">
        <v>46295</v>
      </c>
      <c r="P47" s="13"/>
    </row>
    <row r="48" customFormat="false" ht="23.85" hidden="false" customHeight="false" outlineLevel="0" collapsed="false">
      <c r="A48" s="13" t="s">
        <v>746</v>
      </c>
      <c r="B48" s="13" t="n">
        <v>50</v>
      </c>
      <c r="C48" s="13" t="n">
        <v>100</v>
      </c>
      <c r="D48" s="13" t="n">
        <v>25</v>
      </c>
      <c r="E48" s="13"/>
      <c r="F48" s="13"/>
      <c r="G48" s="13"/>
      <c r="H48" s="13" t="s">
        <v>747</v>
      </c>
      <c r="I48" s="13" t="s">
        <v>96</v>
      </c>
      <c r="J48" s="14" t="s">
        <v>97</v>
      </c>
      <c r="K48" s="15" t="n">
        <v>46295</v>
      </c>
      <c r="L48" s="13" t="s">
        <v>746</v>
      </c>
      <c r="M48" s="13" t="s">
        <v>98</v>
      </c>
      <c r="N48" s="18" t="s">
        <v>15</v>
      </c>
      <c r="O48" s="15" t="n">
        <v>46295</v>
      </c>
      <c r="P48" s="13" t="s">
        <v>748</v>
      </c>
    </row>
    <row r="49" customFormat="false" ht="15" hidden="false" customHeight="false" outlineLevel="0" collapsed="false">
      <c r="A49" s="13" t="s">
        <v>749</v>
      </c>
      <c r="B49" s="13"/>
      <c r="C49" s="13"/>
      <c r="D49" s="13"/>
      <c r="E49" s="13"/>
      <c r="F49" s="13"/>
      <c r="G49" s="13"/>
      <c r="H49" s="13"/>
      <c r="I49" s="13"/>
      <c r="J49" s="14"/>
      <c r="K49" s="15" t="n">
        <v>46295</v>
      </c>
      <c r="L49" s="13" t="s">
        <v>749</v>
      </c>
      <c r="M49" s="13" t="s">
        <v>661</v>
      </c>
      <c r="N49" s="19" t="s">
        <v>17</v>
      </c>
      <c r="O49" s="15" t="n">
        <v>46295</v>
      </c>
      <c r="P49" s="13" t="s">
        <v>662</v>
      </c>
    </row>
    <row r="50" customFormat="false" ht="15" hidden="false" customHeight="false" outlineLevel="0" collapsed="false">
      <c r="A50" s="13" t="s">
        <v>750</v>
      </c>
      <c r="B50" s="13"/>
      <c r="C50" s="13"/>
      <c r="D50" s="13"/>
      <c r="E50" s="13"/>
      <c r="F50" s="13"/>
      <c r="G50" s="13"/>
      <c r="H50" s="13"/>
      <c r="I50" s="13"/>
      <c r="J50" s="14"/>
      <c r="K50" s="15" t="n">
        <v>46295</v>
      </c>
      <c r="L50" s="13" t="s">
        <v>750</v>
      </c>
      <c r="M50" s="13" t="s">
        <v>661</v>
      </c>
      <c r="N50" s="19" t="s">
        <v>17</v>
      </c>
      <c r="O50" s="15" t="n">
        <v>46295</v>
      </c>
      <c r="P50" s="13" t="s">
        <v>662</v>
      </c>
    </row>
    <row r="51" customFormat="false" ht="15" hidden="false" customHeight="false" outlineLevel="0" collapsed="false">
      <c r="A51" s="13" t="s">
        <v>751</v>
      </c>
      <c r="B51" s="13"/>
      <c r="C51" s="13"/>
      <c r="D51" s="13"/>
      <c r="E51" s="13"/>
      <c r="F51" s="13"/>
      <c r="G51" s="13"/>
      <c r="H51" s="13"/>
      <c r="I51" s="13"/>
      <c r="J51" s="14"/>
      <c r="K51" s="15" t="n">
        <v>46295</v>
      </c>
      <c r="L51" s="13" t="s">
        <v>751</v>
      </c>
      <c r="M51" s="13" t="s">
        <v>661</v>
      </c>
      <c r="N51" s="19" t="s">
        <v>17</v>
      </c>
      <c r="O51" s="15" t="n">
        <v>46295</v>
      </c>
      <c r="P51" s="13" t="s">
        <v>662</v>
      </c>
    </row>
    <row r="52" customFormat="false" ht="15" hidden="false" customHeight="false" outlineLevel="0" collapsed="false">
      <c r="A52" s="13" t="s">
        <v>752</v>
      </c>
      <c r="B52" s="13"/>
      <c r="C52" s="13"/>
      <c r="D52" s="13"/>
      <c r="E52" s="13"/>
      <c r="F52" s="13"/>
      <c r="G52" s="13"/>
      <c r="H52" s="13"/>
      <c r="I52" s="13"/>
      <c r="J52" s="14"/>
      <c r="K52" s="15" t="n">
        <v>46295</v>
      </c>
      <c r="L52" s="13" t="s">
        <v>752</v>
      </c>
      <c r="M52" s="13" t="s">
        <v>661</v>
      </c>
      <c r="N52" s="19" t="s">
        <v>17</v>
      </c>
      <c r="O52" s="15" t="n">
        <v>46295</v>
      </c>
      <c r="P52" s="13" t="s">
        <v>662</v>
      </c>
    </row>
  </sheetData>
  <autoFilter ref="A1:P52"/>
  <dataValidations count="1">
    <dataValidation allowBlank="true" errorStyle="stop" operator="between" showDropDown="false" showErrorMessage="false" showInputMessage="false" sqref="N2:N500" type="list">
      <formula1>"Primary source,Secondary - unverified,Conflicting,Not researched"</formula1>
      <formula2>0</formula2>
    </dataValidation>
  </dataValidations>
  <hyperlinks>
    <hyperlink ref="J3" r:id="rId1" display="https://www.insurancegeek.com/auto-insurance/state-minimum-car-insurance-limits/"/>
    <hyperlink ref="J6" r:id="rId2" display="https://www.dmv.ca.gov/portal/vehicle-registration/insurance-requirements/"/>
    <hyperlink ref="J11" r:id="rId3" display="https://www.flhsmv.gov/insurance/"/>
    <hyperlink ref="J13" r:id="rId4" display="https://beachinsurancellc.com/blog/state-minimum-car-insurance-requirements-for-2026-your-essential-guide"/>
    <hyperlink ref="J17" r:id="rId5" display="https://coveragecriteria.com/articles/minimum-auto-insurance-by-state"/>
    <hyperlink ref="J19" r:id="rId6" display="https://www.autoinsurance.org/car-insurance-requirements/"/>
    <hyperlink ref="J20" r:id="rId7" display="https://coveragecriteria.com/articles/minimum-auto-insurance-by-state"/>
    <hyperlink ref="J21" r:id="rId8" display="https://www.insurancegeek.com/auto-insurance/state-minimum-car-insurance-limits/"/>
    <hyperlink ref="J24" r:id="rId9" display="https://coveragecriteria.com/articles/minimum-auto-insurance-by-state"/>
    <hyperlink ref="J31" r:id="rId10" display="https://www.cnbc.com/select/state-minimum-car-insurance-requirements/"/>
    <hyperlink ref="J32" r:id="rId11" display="https://www.carinsurance.com/Articles/minimum-liability-car-insurance-requirements-by-state.aspx"/>
    <hyperlink ref="J34" r:id="rId12" display="https://www.dfs.ny.gov/consumers/auto_insurance/Auto_resource_center"/>
    <hyperlink ref="J35" r:id="rId13" display="https://www.carinsurance.com/Articles/minimum-liability-car-insurance-requirements-by-state.aspx"/>
    <hyperlink ref="J40" r:id="rId14" display="https://beachinsurancellc.com/blog/state-minimum-car-insurance-requirements-for-2026-your-essential-guide"/>
    <hyperlink ref="J44" r:id="rId15" display="https://www.autoinsurance.org/car-insurance-requirements/"/>
    <hyperlink ref="J45" r:id="rId16" display="https://www.tdi.texas.gov/pubs/consumer/cb020.html"/>
    <hyperlink ref="J46" r:id="rId17" display="https://www.carinsurance.com/Articles/minimum-liability-car-insurance-requirements-by-state.aspx"/>
    <hyperlink ref="J47" r:id="rId18" display="https://www.autoinsurance.org/car-insurance-requirements/"/>
    <hyperlink ref="J48" r:id="rId19" display="https://www.carinsurance.com/Articles/minimum-liability-car-insurance-requirements-by-state.asp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24"/>
    <col collapsed="false" customWidth="true" hidden="false" outlineLevel="0" max="6" min="6" style="0" width="55"/>
    <col collapsed="false" customWidth="true" hidden="false" outlineLevel="0" max="7" min="7" style="0" width="34"/>
    <col collapsed="false" customWidth="true" hidden="false" outlineLevel="0" max="8" min="8" style="0" width="42"/>
    <col collapsed="false" customWidth="true" hidden="false" outlineLevel="0" max="9" min="9" style="0" width="12"/>
    <col collapsed="false" customWidth="true" hidden="false" outlineLevel="0" max="10" min="10" style="0" width="16"/>
    <col collapsed="false" customWidth="true" hidden="false" outlineLevel="0" max="11" min="11" style="0" width="24"/>
    <col collapsed="false" customWidth="true" hidden="false" outlineLevel="0" max="12" min="12" style="0" width="20"/>
    <col collapsed="false" customWidth="true" hidden="false" outlineLevel="0" max="13" min="13" style="0" width="12"/>
    <col collapsed="false" customWidth="true" hidden="false" outlineLevel="0" max="14" min="14" style="0" width="50"/>
  </cols>
  <sheetData>
    <row r="1" customFormat="false" ht="31.5" hidden="false" customHeight="true" outlineLevel="0" collapsed="false">
      <c r="A1" s="12" t="s">
        <v>652</v>
      </c>
      <c r="B1" s="12" t="s">
        <v>753</v>
      </c>
      <c r="C1" s="12" t="s">
        <v>754</v>
      </c>
      <c r="D1" s="12" t="s">
        <v>755</v>
      </c>
      <c r="E1" s="12" t="s">
        <v>756</v>
      </c>
      <c r="F1" s="12" t="s">
        <v>757</v>
      </c>
      <c r="G1" s="12" t="s">
        <v>66</v>
      </c>
      <c r="H1" s="12" t="s">
        <v>67</v>
      </c>
      <c r="I1" s="12" t="s">
        <v>68</v>
      </c>
      <c r="J1" s="12" t="s">
        <v>69</v>
      </c>
      <c r="K1" s="12" t="s">
        <v>70</v>
      </c>
      <c r="L1" s="12" t="s">
        <v>71</v>
      </c>
      <c r="M1" s="12" t="s">
        <v>72</v>
      </c>
      <c r="N1" s="12" t="s">
        <v>73</v>
      </c>
    </row>
    <row r="2" customFormat="false" ht="46.25" hidden="false" customHeight="false" outlineLevel="0" collapsed="false">
      <c r="A2" s="13" t="s">
        <v>80</v>
      </c>
      <c r="B2" s="13" t="s">
        <v>758</v>
      </c>
      <c r="C2" s="13" t="s">
        <v>759</v>
      </c>
      <c r="D2" s="13" t="s">
        <v>760</v>
      </c>
      <c r="E2" s="13" t="s">
        <v>761</v>
      </c>
      <c r="F2" s="13" t="s">
        <v>762</v>
      </c>
      <c r="G2" s="13" t="s">
        <v>143</v>
      </c>
      <c r="H2" s="14" t="s">
        <v>144</v>
      </c>
      <c r="I2" s="15" t="n">
        <v>46295</v>
      </c>
      <c r="J2" s="13" t="s">
        <v>80</v>
      </c>
      <c r="K2" s="13" t="s">
        <v>763</v>
      </c>
      <c r="L2" s="16" t="s">
        <v>11</v>
      </c>
      <c r="M2" s="15" t="n">
        <v>46295</v>
      </c>
      <c r="N2" s="13" t="s">
        <v>764</v>
      </c>
    </row>
    <row r="3" customFormat="false" ht="68.65" hidden="false" customHeight="false" outlineLevel="0" collapsed="false">
      <c r="A3" s="13" t="s">
        <v>765</v>
      </c>
      <c r="B3" s="13" t="s">
        <v>766</v>
      </c>
      <c r="C3" s="13" t="s">
        <v>767</v>
      </c>
      <c r="D3" s="13" t="s">
        <v>705</v>
      </c>
      <c r="E3" s="13" t="s">
        <v>705</v>
      </c>
      <c r="F3" s="13" t="s">
        <v>768</v>
      </c>
      <c r="G3" s="13" t="s">
        <v>769</v>
      </c>
      <c r="H3" s="14" t="s">
        <v>770</v>
      </c>
      <c r="I3" s="15" t="n">
        <v>46295</v>
      </c>
      <c r="J3" s="13" t="s">
        <v>80</v>
      </c>
      <c r="K3" s="13" t="s">
        <v>98</v>
      </c>
      <c r="L3" s="18" t="s">
        <v>15</v>
      </c>
      <c r="M3" s="15" t="n">
        <v>46295</v>
      </c>
      <c r="N3" s="13" t="s">
        <v>771</v>
      </c>
    </row>
    <row r="4" customFormat="false" ht="23.85" hidden="false" customHeight="false" outlineLevel="0" collapsed="false">
      <c r="A4" s="13" t="s">
        <v>682</v>
      </c>
      <c r="B4" s="13" t="s">
        <v>772</v>
      </c>
      <c r="C4" s="13" t="s">
        <v>773</v>
      </c>
      <c r="D4" s="13" t="s">
        <v>705</v>
      </c>
      <c r="E4" s="13" t="s">
        <v>705</v>
      </c>
      <c r="F4" s="13" t="s">
        <v>774</v>
      </c>
      <c r="G4" s="13" t="s">
        <v>775</v>
      </c>
      <c r="H4" s="14" t="s">
        <v>776</v>
      </c>
      <c r="I4" s="15" t="n">
        <v>46295</v>
      </c>
      <c r="J4" s="13" t="s">
        <v>682</v>
      </c>
      <c r="K4" s="13" t="s">
        <v>98</v>
      </c>
      <c r="L4" s="17" t="s">
        <v>13</v>
      </c>
      <c r="M4" s="15" t="n">
        <v>46295</v>
      </c>
      <c r="N4" s="13" t="s">
        <v>777</v>
      </c>
    </row>
    <row r="5" customFormat="false" ht="46.25" hidden="false" customHeight="false" outlineLevel="0" collapsed="false">
      <c r="A5" s="13" t="s">
        <v>374</v>
      </c>
      <c r="B5" s="13" t="s">
        <v>778</v>
      </c>
      <c r="C5" s="13" t="s">
        <v>705</v>
      </c>
      <c r="D5" s="13" t="s">
        <v>779</v>
      </c>
      <c r="E5" s="13" t="s">
        <v>780</v>
      </c>
      <c r="F5" s="13" t="s">
        <v>781</v>
      </c>
      <c r="G5" s="13" t="s">
        <v>372</v>
      </c>
      <c r="H5" s="14" t="s">
        <v>373</v>
      </c>
      <c r="I5" s="15" t="n">
        <v>46295</v>
      </c>
      <c r="J5" s="13" t="s">
        <v>374</v>
      </c>
      <c r="K5" s="13" t="s">
        <v>81</v>
      </c>
      <c r="L5" s="16" t="s">
        <v>11</v>
      </c>
      <c r="M5" s="15" t="n">
        <v>46295</v>
      </c>
      <c r="N5" s="13" t="s">
        <v>782</v>
      </c>
    </row>
    <row r="6" customFormat="false" ht="68.65" hidden="false" customHeight="false" outlineLevel="0" collapsed="false">
      <c r="A6" s="13" t="s">
        <v>423</v>
      </c>
      <c r="B6" s="13" t="s">
        <v>783</v>
      </c>
      <c r="C6" s="13" t="s">
        <v>784</v>
      </c>
      <c r="D6" s="13" t="s">
        <v>705</v>
      </c>
      <c r="E6" s="13" t="s">
        <v>705</v>
      </c>
      <c r="F6" s="13" t="s">
        <v>785</v>
      </c>
      <c r="G6" s="13" t="s">
        <v>464</v>
      </c>
      <c r="H6" s="14" t="s">
        <v>465</v>
      </c>
      <c r="I6" s="15" t="n">
        <v>46295</v>
      </c>
      <c r="J6" s="13" t="s">
        <v>423</v>
      </c>
      <c r="K6" s="13" t="s">
        <v>786</v>
      </c>
      <c r="L6" s="16" t="s">
        <v>11</v>
      </c>
      <c r="M6" s="15" t="n">
        <v>46295</v>
      </c>
      <c r="N6" s="13" t="s">
        <v>787</v>
      </c>
    </row>
    <row r="7" customFormat="false" ht="46.25" hidden="false" customHeight="false" outlineLevel="0" collapsed="false">
      <c r="A7" s="13" t="s">
        <v>482</v>
      </c>
      <c r="B7" s="13" t="s">
        <v>788</v>
      </c>
      <c r="C7" s="13" t="s">
        <v>705</v>
      </c>
      <c r="D7" s="13" t="s">
        <v>789</v>
      </c>
      <c r="E7" s="13" t="s">
        <v>790</v>
      </c>
      <c r="F7" s="13" t="s">
        <v>791</v>
      </c>
      <c r="G7" s="13" t="s">
        <v>480</v>
      </c>
      <c r="H7" s="14" t="s">
        <v>481</v>
      </c>
      <c r="I7" s="15" t="n">
        <v>46295</v>
      </c>
      <c r="J7" s="13" t="s">
        <v>482</v>
      </c>
      <c r="K7" s="13" t="s">
        <v>81</v>
      </c>
      <c r="L7" s="16" t="s">
        <v>11</v>
      </c>
      <c r="M7" s="15" t="n">
        <v>46295</v>
      </c>
      <c r="N7" s="13" t="s">
        <v>792</v>
      </c>
    </row>
    <row r="8" customFormat="false" ht="23.85" hidden="false" customHeight="false" outlineLevel="0" collapsed="false">
      <c r="A8" s="13" t="s">
        <v>703</v>
      </c>
      <c r="B8" s="13" t="s">
        <v>772</v>
      </c>
      <c r="C8" s="13" t="s">
        <v>772</v>
      </c>
      <c r="D8" s="13" t="s">
        <v>793</v>
      </c>
      <c r="E8" s="13" t="s">
        <v>793</v>
      </c>
      <c r="F8" s="13" t="s">
        <v>794</v>
      </c>
      <c r="G8" s="13" t="s">
        <v>795</v>
      </c>
      <c r="H8" s="14" t="s">
        <v>796</v>
      </c>
      <c r="I8" s="15" t="n">
        <v>46295</v>
      </c>
      <c r="J8" s="13" t="s">
        <v>703</v>
      </c>
      <c r="K8" s="13" t="s">
        <v>98</v>
      </c>
      <c r="L8" s="17" t="s">
        <v>13</v>
      </c>
      <c r="M8" s="15" t="n">
        <v>46295</v>
      </c>
      <c r="N8" s="13"/>
    </row>
    <row r="9" customFormat="false" ht="35.05" hidden="false" customHeight="false" outlineLevel="0" collapsed="false">
      <c r="A9" s="13" t="s">
        <v>704</v>
      </c>
      <c r="B9" s="13" t="s">
        <v>15</v>
      </c>
      <c r="C9" s="13" t="s">
        <v>797</v>
      </c>
      <c r="D9" s="13" t="s">
        <v>798</v>
      </c>
      <c r="E9" s="13" t="s">
        <v>799</v>
      </c>
      <c r="F9" s="13" t="s">
        <v>800</v>
      </c>
      <c r="G9" s="13" t="s">
        <v>801</v>
      </c>
      <c r="H9" s="14" t="s">
        <v>802</v>
      </c>
      <c r="I9" s="15" t="n">
        <v>46295</v>
      </c>
      <c r="J9" s="13" t="s">
        <v>704</v>
      </c>
      <c r="K9" s="13" t="s">
        <v>98</v>
      </c>
      <c r="L9" s="18" t="s">
        <v>15</v>
      </c>
      <c r="M9" s="15" t="n">
        <v>46295</v>
      </c>
      <c r="N9" s="13" t="s">
        <v>803</v>
      </c>
    </row>
    <row r="10" customFormat="false" ht="23.85" hidden="false" customHeight="false" outlineLevel="0" collapsed="false">
      <c r="A10" s="13" t="s">
        <v>702</v>
      </c>
      <c r="B10" s="13" t="s">
        <v>804</v>
      </c>
      <c r="C10" s="13" t="s">
        <v>805</v>
      </c>
      <c r="D10" s="13" t="s">
        <v>705</v>
      </c>
      <c r="E10" s="13" t="s">
        <v>705</v>
      </c>
      <c r="F10" s="13" t="s">
        <v>806</v>
      </c>
      <c r="G10" s="13" t="s">
        <v>807</v>
      </c>
      <c r="H10" s="14" t="s">
        <v>808</v>
      </c>
      <c r="I10" s="15" t="n">
        <v>46295</v>
      </c>
      <c r="J10" s="13" t="s">
        <v>702</v>
      </c>
      <c r="K10" s="13" t="s">
        <v>98</v>
      </c>
      <c r="L10" s="17" t="s">
        <v>13</v>
      </c>
      <c r="M10" s="15" t="n">
        <v>46295</v>
      </c>
      <c r="N10" s="13"/>
    </row>
    <row r="11" customFormat="false" ht="23.85" hidden="false" customHeight="false" outlineLevel="0" collapsed="false">
      <c r="A11" s="13" t="s">
        <v>733</v>
      </c>
      <c r="B11" s="13" t="s">
        <v>809</v>
      </c>
      <c r="C11" s="13" t="s">
        <v>809</v>
      </c>
      <c r="D11" s="13" t="s">
        <v>705</v>
      </c>
      <c r="E11" s="13" t="s">
        <v>705</v>
      </c>
      <c r="F11" s="13"/>
      <c r="G11" s="13" t="s">
        <v>801</v>
      </c>
      <c r="H11" s="14" t="s">
        <v>802</v>
      </c>
      <c r="I11" s="15" t="n">
        <v>46295</v>
      </c>
      <c r="J11" s="13" t="s">
        <v>733</v>
      </c>
      <c r="K11" s="13" t="s">
        <v>98</v>
      </c>
      <c r="L11" s="17" t="s">
        <v>13</v>
      </c>
      <c r="M11" s="15" t="n">
        <v>46295</v>
      </c>
      <c r="N11" s="13" t="s">
        <v>810</v>
      </c>
    </row>
    <row r="12" customFormat="false" ht="23.85" hidden="false" customHeight="false" outlineLevel="0" collapsed="false">
      <c r="A12" s="13" t="s">
        <v>743</v>
      </c>
      <c r="B12" s="13" t="s">
        <v>809</v>
      </c>
      <c r="C12" s="13" t="s">
        <v>809</v>
      </c>
      <c r="D12" s="13" t="s">
        <v>705</v>
      </c>
      <c r="E12" s="13" t="s">
        <v>705</v>
      </c>
      <c r="F12" s="13"/>
      <c r="G12" s="13" t="s">
        <v>801</v>
      </c>
      <c r="H12" s="14" t="s">
        <v>802</v>
      </c>
      <c r="I12" s="15" t="n">
        <v>46295</v>
      </c>
      <c r="J12" s="13" t="s">
        <v>743</v>
      </c>
      <c r="K12" s="13" t="s">
        <v>98</v>
      </c>
      <c r="L12" s="17" t="s">
        <v>13</v>
      </c>
      <c r="M12" s="15" t="n">
        <v>46295</v>
      </c>
      <c r="N12" s="13" t="s">
        <v>810</v>
      </c>
    </row>
    <row r="13" customFormat="false" ht="23.85" hidden="false" customHeight="false" outlineLevel="0" collapsed="false">
      <c r="A13" s="13" t="s">
        <v>749</v>
      </c>
      <c r="B13" s="13" t="s">
        <v>811</v>
      </c>
      <c r="C13" s="13" t="s">
        <v>705</v>
      </c>
      <c r="D13" s="13" t="s">
        <v>705</v>
      </c>
      <c r="E13" s="13" t="s">
        <v>705</v>
      </c>
      <c r="F13" s="13" t="s">
        <v>812</v>
      </c>
      <c r="G13" s="13" t="s">
        <v>813</v>
      </c>
      <c r="H13" s="14" t="s">
        <v>814</v>
      </c>
      <c r="I13" s="15" t="n">
        <v>46295</v>
      </c>
      <c r="J13" s="13" t="s">
        <v>749</v>
      </c>
      <c r="K13" s="13" t="s">
        <v>98</v>
      </c>
      <c r="L13" s="17" t="s">
        <v>13</v>
      </c>
      <c r="M13" s="15" t="n">
        <v>46295</v>
      </c>
      <c r="N13" s="13" t="s">
        <v>815</v>
      </c>
    </row>
    <row r="14" customFormat="false" ht="23.85" hidden="false" customHeight="false" outlineLevel="0" collapsed="false">
      <c r="A14" s="13" t="s">
        <v>816</v>
      </c>
      <c r="B14" s="13" t="s">
        <v>817</v>
      </c>
      <c r="C14" s="13" t="s">
        <v>817</v>
      </c>
      <c r="D14" s="13" t="s">
        <v>817</v>
      </c>
      <c r="E14" s="13" t="s">
        <v>817</v>
      </c>
      <c r="F14" s="13" t="s">
        <v>818</v>
      </c>
      <c r="G14" s="13" t="s">
        <v>801</v>
      </c>
      <c r="H14" s="14" t="s">
        <v>802</v>
      </c>
      <c r="I14" s="15" t="n">
        <v>46295</v>
      </c>
      <c r="J14" s="13" t="s">
        <v>819</v>
      </c>
      <c r="K14" s="13" t="s">
        <v>98</v>
      </c>
      <c r="L14" s="17" t="s">
        <v>13</v>
      </c>
      <c r="M14" s="15" t="n">
        <v>46295</v>
      </c>
      <c r="N14" s="13" t="s">
        <v>820</v>
      </c>
    </row>
  </sheetData>
  <autoFilter ref="A1:N14"/>
  <dataValidations count="1">
    <dataValidation allowBlank="true" errorStyle="stop" operator="between" showDropDown="false" showErrorMessage="false" showInputMessage="false" sqref="L2:L500" type="list">
      <formula1>"Primary source,Secondary - unverified,Conflicting,Not researched"</formula1>
      <formula2>0</formula2>
    </dataValidation>
  </dataValidations>
  <hyperlinks>
    <hyperlink ref="H2" r:id="rId1" display="https://www.law.cornell.edu/regulations/california/10-CCR-2632.5"/>
    <hyperlink ref="H3" r:id="rId2" display="https://uphelp.org/should-states-ban-credit-based-insurance-scoring/"/>
    <hyperlink ref="H4" r:id="rId3" display="https://www.newsweek.com/where-your-credit-score-can-cant-raise-insurance-costs-11885672"/>
    <hyperlink ref="H5" r:id="rId4" display="https://www.tdi.texas.gov/pubs/consumer/cb020.html"/>
    <hyperlink ref="H6" r:id="rId5" display="https://www.flsenate.gov/Laws/Statutes/2025/0626.9741"/>
    <hyperlink ref="H7" r:id="rId6" display="https://www.dfs.ny.gov/consumers/auto_insurance/Auto_resource_center"/>
    <hyperlink ref="H8" r:id="rId7" display="https://www.thezebra.com/resources/research/car-insurance-rating-factors-by-state/"/>
    <hyperlink ref="H9" r:id="rId8" display="https://www.experian.com/blogs/ask-experian/which-states-prohibit-or-restrict-the-use-of-credit-based-insurance-scores/"/>
    <hyperlink ref="H10" r:id="rId9" display="https://www.cnbc.com/2026/04/26/insurance-rates-credit-history.html"/>
    <hyperlink ref="H11" r:id="rId10" display="https://www.experian.com/blogs/ask-experian/which-states-prohibit-or-restrict-the-use-of-credit-based-insurance-scores/"/>
    <hyperlink ref="H12" r:id="rId11" display="https://www.experian.com/blogs/ask-experian/which-states-prohibit-or-restrict-the-use-of-credit-based-insurance-scores/"/>
    <hyperlink ref="H13" r:id="rId12" display="https://www.moneygeek.com/insurance/auto/which-insurance-companies-dont-check-credit-score/"/>
    <hyperlink ref="H14" r:id="rId13" display="https://www.experian.com/blogs/ask-experian/which-states-prohibit-or-restrict-the-use-of-credit-based-insurance-score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36"/>
    <col collapsed="false" customWidth="true" hidden="false" outlineLevel="0" max="6" min="6" style="0" width="34"/>
    <col collapsed="false" customWidth="true" hidden="false" outlineLevel="0" max="7" min="7" style="0" width="42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3" min="12" style="0" width="60"/>
  </cols>
  <sheetData>
    <row r="1" customFormat="false" ht="31.5" hidden="false" customHeight="true" outlineLevel="0" collapsed="false">
      <c r="A1" s="12" t="s">
        <v>821</v>
      </c>
      <c r="B1" s="12" t="s">
        <v>822</v>
      </c>
      <c r="C1" s="12" t="s">
        <v>823</v>
      </c>
      <c r="D1" s="12" t="s">
        <v>353</v>
      </c>
      <c r="E1" s="12" t="s">
        <v>824</v>
      </c>
      <c r="F1" s="12" t="s">
        <v>66</v>
      </c>
      <c r="G1" s="12" t="s">
        <v>67</v>
      </c>
      <c r="H1" s="12" t="s">
        <v>68</v>
      </c>
      <c r="I1" s="12" t="s">
        <v>69</v>
      </c>
      <c r="J1" s="12" t="s">
        <v>70</v>
      </c>
      <c r="K1" s="12" t="s">
        <v>71</v>
      </c>
      <c r="L1" s="12" t="s">
        <v>72</v>
      </c>
      <c r="M1" s="12" t="s">
        <v>73</v>
      </c>
    </row>
    <row r="2" customFormat="false" ht="23.85" hidden="false" customHeight="false" outlineLevel="0" collapsed="false">
      <c r="A2" s="13" t="s">
        <v>825</v>
      </c>
      <c r="B2" s="13" t="s">
        <v>826</v>
      </c>
      <c r="C2" s="13" t="s">
        <v>482</v>
      </c>
      <c r="D2" s="13" t="s">
        <v>827</v>
      </c>
      <c r="E2" s="13" t="s">
        <v>828</v>
      </c>
      <c r="F2" s="13" t="s">
        <v>829</v>
      </c>
      <c r="G2" s="14" t="s">
        <v>830</v>
      </c>
      <c r="H2" s="15" t="n">
        <v>46295</v>
      </c>
      <c r="I2" s="13" t="s">
        <v>482</v>
      </c>
      <c r="J2" s="13" t="s">
        <v>81</v>
      </c>
      <c r="K2" s="16" t="s">
        <v>11</v>
      </c>
      <c r="L2" s="15" t="n">
        <v>46295</v>
      </c>
      <c r="M2" s="13" t="s">
        <v>831</v>
      </c>
    </row>
    <row r="3" customFormat="false" ht="23.85" hidden="false" customHeight="false" outlineLevel="0" collapsed="false">
      <c r="A3" s="13" t="s">
        <v>832</v>
      </c>
      <c r="B3" s="13" t="s">
        <v>826</v>
      </c>
      <c r="C3" s="13" t="s">
        <v>482</v>
      </c>
      <c r="D3" s="13" t="s">
        <v>827</v>
      </c>
      <c r="E3" s="13" t="s">
        <v>828</v>
      </c>
      <c r="F3" s="13" t="s">
        <v>829</v>
      </c>
      <c r="G3" s="14" t="s">
        <v>830</v>
      </c>
      <c r="H3" s="15" t="n">
        <v>46295</v>
      </c>
      <c r="I3" s="13" t="s">
        <v>482</v>
      </c>
      <c r="J3" s="13" t="s">
        <v>81</v>
      </c>
      <c r="K3" s="16" t="s">
        <v>11</v>
      </c>
      <c r="L3" s="15" t="n">
        <v>46295</v>
      </c>
      <c r="M3" s="13" t="s">
        <v>831</v>
      </c>
    </row>
    <row r="4" customFormat="false" ht="23.85" hidden="false" customHeight="false" outlineLevel="0" collapsed="false">
      <c r="A4" s="13" t="s">
        <v>833</v>
      </c>
      <c r="B4" s="13" t="s">
        <v>826</v>
      </c>
      <c r="C4" s="13" t="s">
        <v>482</v>
      </c>
      <c r="D4" s="13" t="s">
        <v>827</v>
      </c>
      <c r="E4" s="13" t="s">
        <v>828</v>
      </c>
      <c r="F4" s="13" t="s">
        <v>829</v>
      </c>
      <c r="G4" s="14" t="s">
        <v>830</v>
      </c>
      <c r="H4" s="15" t="n">
        <v>46295</v>
      </c>
      <c r="I4" s="13" t="s">
        <v>482</v>
      </c>
      <c r="J4" s="13" t="s">
        <v>81</v>
      </c>
      <c r="K4" s="16" t="s">
        <v>11</v>
      </c>
      <c r="L4" s="15" t="n">
        <v>46295</v>
      </c>
      <c r="M4" s="13" t="s">
        <v>831</v>
      </c>
    </row>
    <row r="5" customFormat="false" ht="23.85" hidden="false" customHeight="false" outlineLevel="0" collapsed="false">
      <c r="A5" s="13" t="s">
        <v>834</v>
      </c>
      <c r="B5" s="13" t="s">
        <v>826</v>
      </c>
      <c r="C5" s="13" t="s">
        <v>482</v>
      </c>
      <c r="D5" s="13" t="s">
        <v>827</v>
      </c>
      <c r="E5" s="13" t="s">
        <v>828</v>
      </c>
      <c r="F5" s="13" t="s">
        <v>829</v>
      </c>
      <c r="G5" s="14" t="s">
        <v>830</v>
      </c>
      <c r="H5" s="15" t="n">
        <v>46295</v>
      </c>
      <c r="I5" s="13" t="s">
        <v>482</v>
      </c>
      <c r="J5" s="13" t="s">
        <v>81</v>
      </c>
      <c r="K5" s="16" t="s">
        <v>11</v>
      </c>
      <c r="L5" s="15" t="n">
        <v>46295</v>
      </c>
      <c r="M5" s="13" t="s">
        <v>831</v>
      </c>
    </row>
    <row r="6" customFormat="false" ht="23.85" hidden="false" customHeight="false" outlineLevel="0" collapsed="false">
      <c r="A6" s="13" t="s">
        <v>835</v>
      </c>
      <c r="B6" s="13" t="s">
        <v>826</v>
      </c>
      <c r="C6" s="13" t="s">
        <v>482</v>
      </c>
      <c r="D6" s="13" t="s">
        <v>827</v>
      </c>
      <c r="E6" s="13" t="s">
        <v>828</v>
      </c>
      <c r="F6" s="13" t="s">
        <v>829</v>
      </c>
      <c r="G6" s="14" t="s">
        <v>830</v>
      </c>
      <c r="H6" s="15" t="n">
        <v>46295</v>
      </c>
      <c r="I6" s="13" t="s">
        <v>482</v>
      </c>
      <c r="J6" s="13" t="s">
        <v>81</v>
      </c>
      <c r="K6" s="16" t="s">
        <v>11</v>
      </c>
      <c r="L6" s="15" t="n">
        <v>46295</v>
      </c>
      <c r="M6" s="13" t="s">
        <v>831</v>
      </c>
    </row>
    <row r="7" customFormat="false" ht="23.85" hidden="false" customHeight="false" outlineLevel="0" collapsed="false">
      <c r="A7" s="13" t="s">
        <v>836</v>
      </c>
      <c r="B7" s="13" t="s">
        <v>826</v>
      </c>
      <c r="C7" s="13" t="s">
        <v>482</v>
      </c>
      <c r="D7" s="13" t="s">
        <v>827</v>
      </c>
      <c r="E7" s="13" t="s">
        <v>828</v>
      </c>
      <c r="F7" s="13" t="s">
        <v>829</v>
      </c>
      <c r="G7" s="14" t="s">
        <v>830</v>
      </c>
      <c r="H7" s="15" t="n">
        <v>46295</v>
      </c>
      <c r="I7" s="13" t="s">
        <v>482</v>
      </c>
      <c r="J7" s="13" t="s">
        <v>81</v>
      </c>
      <c r="K7" s="16" t="s">
        <v>11</v>
      </c>
      <c r="L7" s="15" t="n">
        <v>46295</v>
      </c>
      <c r="M7" s="13" t="s">
        <v>831</v>
      </c>
    </row>
    <row r="8" customFormat="false" ht="23.85" hidden="false" customHeight="false" outlineLevel="0" collapsed="false">
      <c r="A8" s="13" t="s">
        <v>837</v>
      </c>
      <c r="B8" s="13" t="s">
        <v>838</v>
      </c>
      <c r="C8" s="13" t="s">
        <v>482</v>
      </c>
      <c r="D8" s="13" t="s">
        <v>839</v>
      </c>
      <c r="E8" s="13" t="s">
        <v>840</v>
      </c>
      <c r="F8" s="13" t="s">
        <v>841</v>
      </c>
      <c r="G8" s="14" t="s">
        <v>842</v>
      </c>
      <c r="H8" s="15" t="n">
        <v>46295</v>
      </c>
      <c r="I8" s="13" t="s">
        <v>482</v>
      </c>
      <c r="J8" s="13" t="s">
        <v>98</v>
      </c>
      <c r="K8" s="17" t="s">
        <v>13</v>
      </c>
      <c r="L8" s="15" t="n">
        <v>46295</v>
      </c>
      <c r="M8" s="13" t="s">
        <v>843</v>
      </c>
    </row>
    <row r="9" customFormat="false" ht="23.85" hidden="false" customHeight="false" outlineLevel="0" collapsed="false">
      <c r="A9" s="13" t="s">
        <v>844</v>
      </c>
      <c r="B9" s="13" t="s">
        <v>838</v>
      </c>
      <c r="C9" s="13" t="s">
        <v>845</v>
      </c>
      <c r="D9" s="13" t="s">
        <v>846</v>
      </c>
      <c r="E9" s="13" t="s">
        <v>847</v>
      </c>
      <c r="F9" s="13" t="s">
        <v>841</v>
      </c>
      <c r="G9" s="14" t="s">
        <v>842</v>
      </c>
      <c r="H9" s="15" t="n">
        <v>46295</v>
      </c>
      <c r="I9" s="13" t="s">
        <v>848</v>
      </c>
      <c r="J9" s="13" t="s">
        <v>98</v>
      </c>
      <c r="K9" s="17" t="s">
        <v>13</v>
      </c>
      <c r="L9" s="15" t="n">
        <v>46295</v>
      </c>
      <c r="M9" s="13" t="s">
        <v>849</v>
      </c>
    </row>
    <row r="10" customFormat="false" ht="23.85" hidden="false" customHeight="false" outlineLevel="0" collapsed="false">
      <c r="A10" s="13" t="s">
        <v>844</v>
      </c>
      <c r="B10" s="13" t="s">
        <v>838</v>
      </c>
      <c r="C10" s="13" t="s">
        <v>728</v>
      </c>
      <c r="D10" s="13" t="s">
        <v>850</v>
      </c>
      <c r="E10" s="13" t="s">
        <v>847</v>
      </c>
      <c r="F10" s="13" t="s">
        <v>851</v>
      </c>
      <c r="G10" s="14" t="s">
        <v>852</v>
      </c>
      <c r="H10" s="15" t="n">
        <v>46295</v>
      </c>
      <c r="I10" s="13" t="s">
        <v>728</v>
      </c>
      <c r="J10" s="13" t="s">
        <v>853</v>
      </c>
      <c r="K10" s="16" t="s">
        <v>11</v>
      </c>
      <c r="L10" s="15" t="n">
        <v>46295</v>
      </c>
      <c r="M10" s="13" t="s">
        <v>854</v>
      </c>
    </row>
    <row r="11" customFormat="false" ht="23.85" hidden="false" customHeight="false" outlineLevel="0" collapsed="false">
      <c r="A11" s="13" t="s">
        <v>844</v>
      </c>
      <c r="B11" s="13" t="s">
        <v>838</v>
      </c>
      <c r="C11" s="13" t="s">
        <v>855</v>
      </c>
      <c r="D11" s="13" t="s">
        <v>850</v>
      </c>
      <c r="E11" s="13" t="s">
        <v>847</v>
      </c>
      <c r="F11" s="13" t="s">
        <v>851</v>
      </c>
      <c r="G11" s="14" t="s">
        <v>852</v>
      </c>
      <c r="H11" s="15" t="n">
        <v>46295</v>
      </c>
      <c r="I11" s="13" t="s">
        <v>856</v>
      </c>
      <c r="J11" s="13" t="s">
        <v>853</v>
      </c>
      <c r="K11" s="16" t="s">
        <v>11</v>
      </c>
      <c r="L11" s="15" t="n">
        <v>46295</v>
      </c>
      <c r="M11" s="13" t="s">
        <v>857</v>
      </c>
    </row>
    <row r="12" customFormat="false" ht="23.85" hidden="false" customHeight="false" outlineLevel="0" collapsed="false">
      <c r="A12" s="13" t="s">
        <v>844</v>
      </c>
      <c r="B12" s="13" t="s">
        <v>838</v>
      </c>
      <c r="C12" s="13" t="s">
        <v>687</v>
      </c>
      <c r="D12" s="13" t="s">
        <v>858</v>
      </c>
      <c r="E12" s="13" t="s">
        <v>859</v>
      </c>
      <c r="F12" s="13" t="s">
        <v>851</v>
      </c>
      <c r="G12" s="14" t="s">
        <v>852</v>
      </c>
      <c r="H12" s="15" t="n">
        <v>46295</v>
      </c>
      <c r="I12" s="13" t="s">
        <v>687</v>
      </c>
      <c r="J12" s="13" t="s">
        <v>853</v>
      </c>
      <c r="K12" s="16" t="s">
        <v>11</v>
      </c>
      <c r="L12" s="15" t="n">
        <v>46295</v>
      </c>
      <c r="M12" s="13" t="s">
        <v>860</v>
      </c>
    </row>
    <row r="13" customFormat="false" ht="23.85" hidden="false" customHeight="false" outlineLevel="0" collapsed="false">
      <c r="A13" s="13" t="s">
        <v>844</v>
      </c>
      <c r="B13" s="13" t="s">
        <v>838</v>
      </c>
      <c r="C13" s="13" t="s">
        <v>374</v>
      </c>
      <c r="D13" s="13" t="s">
        <v>861</v>
      </c>
      <c r="E13" s="13" t="s">
        <v>862</v>
      </c>
      <c r="F13" s="13" t="s">
        <v>841</v>
      </c>
      <c r="G13" s="14" t="s">
        <v>842</v>
      </c>
      <c r="H13" s="15" t="n">
        <v>46295</v>
      </c>
      <c r="I13" s="13" t="s">
        <v>374</v>
      </c>
      <c r="J13" s="13" t="s">
        <v>98</v>
      </c>
      <c r="K13" s="17" t="s">
        <v>13</v>
      </c>
      <c r="L13" s="15" t="n">
        <v>46295</v>
      </c>
      <c r="M13" s="13"/>
    </row>
    <row r="14" customFormat="false" ht="35.05" hidden="false" customHeight="false" outlineLevel="0" collapsed="false">
      <c r="A14" s="13" t="s">
        <v>168</v>
      </c>
      <c r="B14" s="13" t="s">
        <v>838</v>
      </c>
      <c r="C14" s="13" t="s">
        <v>80</v>
      </c>
      <c r="D14" s="13" t="s">
        <v>863</v>
      </c>
      <c r="E14" s="13" t="s">
        <v>864</v>
      </c>
      <c r="F14" s="13" t="s">
        <v>126</v>
      </c>
      <c r="G14" s="14" t="s">
        <v>127</v>
      </c>
      <c r="H14" s="15" t="n">
        <v>46295</v>
      </c>
      <c r="I14" s="13" t="s">
        <v>80</v>
      </c>
      <c r="J14" s="13" t="s">
        <v>81</v>
      </c>
      <c r="K14" s="16" t="s">
        <v>11</v>
      </c>
      <c r="L14" s="15" t="n">
        <v>46295</v>
      </c>
      <c r="M14" s="13" t="s">
        <v>865</v>
      </c>
    </row>
    <row r="15" customFormat="false" ht="23.85" hidden="false" customHeight="false" outlineLevel="0" collapsed="false">
      <c r="A15" s="13" t="s">
        <v>866</v>
      </c>
      <c r="B15" s="13" t="s">
        <v>838</v>
      </c>
      <c r="C15" s="13" t="s">
        <v>80</v>
      </c>
      <c r="D15" s="13" t="s">
        <v>867</v>
      </c>
      <c r="E15" s="13" t="s">
        <v>868</v>
      </c>
      <c r="F15" s="13" t="s">
        <v>183</v>
      </c>
      <c r="G15" s="14" t="s">
        <v>184</v>
      </c>
      <c r="H15" s="15" t="n">
        <v>46295</v>
      </c>
      <c r="I15" s="13" t="s">
        <v>80</v>
      </c>
      <c r="J15" s="13" t="s">
        <v>81</v>
      </c>
      <c r="K15" s="16" t="s">
        <v>11</v>
      </c>
      <c r="L15" s="15" t="n">
        <v>46295</v>
      </c>
      <c r="M15" s="13" t="s">
        <v>869</v>
      </c>
    </row>
    <row r="16" customFormat="false" ht="35.05" hidden="false" customHeight="false" outlineLevel="0" collapsed="false">
      <c r="A16" s="13" t="s">
        <v>870</v>
      </c>
      <c r="B16" s="13" t="s">
        <v>838</v>
      </c>
      <c r="C16" s="13" t="s">
        <v>80</v>
      </c>
      <c r="D16" s="13" t="s">
        <v>871</v>
      </c>
      <c r="E16" s="13" t="s">
        <v>872</v>
      </c>
      <c r="F16" s="13" t="s">
        <v>189</v>
      </c>
      <c r="G16" s="14" t="s">
        <v>190</v>
      </c>
      <c r="H16" s="15" t="n">
        <v>46295</v>
      </c>
      <c r="I16" s="13" t="s">
        <v>80</v>
      </c>
      <c r="J16" s="13" t="s">
        <v>786</v>
      </c>
      <c r="K16" s="16" t="s">
        <v>11</v>
      </c>
      <c r="L16" s="15" t="n">
        <v>46295</v>
      </c>
      <c r="M16" s="13" t="s">
        <v>873</v>
      </c>
    </row>
    <row r="17" customFormat="false" ht="23.85" hidden="false" customHeight="false" outlineLevel="0" collapsed="false">
      <c r="A17" s="13" t="s">
        <v>874</v>
      </c>
      <c r="B17" s="13" t="s">
        <v>875</v>
      </c>
      <c r="C17" s="13" t="s">
        <v>80</v>
      </c>
      <c r="D17" s="13" t="s">
        <v>876</v>
      </c>
      <c r="E17" s="13" t="s">
        <v>847</v>
      </c>
      <c r="F17" s="13" t="s">
        <v>183</v>
      </c>
      <c r="G17" s="14" t="s">
        <v>184</v>
      </c>
      <c r="H17" s="15" t="n">
        <v>46295</v>
      </c>
      <c r="I17" s="13" t="s">
        <v>80</v>
      </c>
      <c r="J17" s="13" t="s">
        <v>81</v>
      </c>
      <c r="K17" s="16" t="s">
        <v>11</v>
      </c>
      <c r="L17" s="15" t="n">
        <v>46295</v>
      </c>
      <c r="M17" s="13" t="s">
        <v>877</v>
      </c>
    </row>
    <row r="18" customFormat="false" ht="23.85" hidden="false" customHeight="false" outlineLevel="0" collapsed="false">
      <c r="A18" s="13" t="s">
        <v>516</v>
      </c>
      <c r="B18" s="13" t="s">
        <v>838</v>
      </c>
      <c r="C18" s="13" t="s">
        <v>482</v>
      </c>
      <c r="D18" s="13" t="s">
        <v>878</v>
      </c>
      <c r="E18" s="13" t="s">
        <v>879</v>
      </c>
      <c r="F18" s="13" t="s">
        <v>480</v>
      </c>
      <c r="G18" s="14" t="s">
        <v>481</v>
      </c>
      <c r="H18" s="15" t="n">
        <v>46295</v>
      </c>
      <c r="I18" s="13" t="s">
        <v>482</v>
      </c>
      <c r="J18" s="13" t="s">
        <v>81</v>
      </c>
      <c r="K18" s="16" t="s">
        <v>11</v>
      </c>
      <c r="L18" s="15" t="n">
        <v>46295</v>
      </c>
      <c r="M18" s="13" t="s">
        <v>880</v>
      </c>
    </row>
    <row r="19" customFormat="false" ht="35.05" hidden="false" customHeight="false" outlineLevel="0" collapsed="false">
      <c r="A19" s="13" t="s">
        <v>881</v>
      </c>
      <c r="B19" s="13" t="s">
        <v>882</v>
      </c>
      <c r="C19" s="13" t="s">
        <v>482</v>
      </c>
      <c r="D19" s="13" t="s">
        <v>883</v>
      </c>
      <c r="E19" s="13" t="s">
        <v>884</v>
      </c>
      <c r="F19" s="13" t="s">
        <v>480</v>
      </c>
      <c r="G19" s="14" t="s">
        <v>481</v>
      </c>
      <c r="H19" s="15" t="n">
        <v>46295</v>
      </c>
      <c r="I19" s="13" t="s">
        <v>482</v>
      </c>
      <c r="J19" s="13" t="s">
        <v>81</v>
      </c>
      <c r="K19" s="16" t="s">
        <v>11</v>
      </c>
      <c r="L19" s="15" t="n">
        <v>46295</v>
      </c>
      <c r="M19" s="13" t="s">
        <v>885</v>
      </c>
    </row>
    <row r="20" customFormat="false" ht="35.05" hidden="false" customHeight="false" outlineLevel="0" collapsed="false">
      <c r="A20" s="13" t="s">
        <v>886</v>
      </c>
      <c r="B20" s="13" t="s">
        <v>887</v>
      </c>
      <c r="C20" s="13" t="s">
        <v>482</v>
      </c>
      <c r="D20" s="13" t="s">
        <v>888</v>
      </c>
      <c r="E20" s="13" t="s">
        <v>868</v>
      </c>
      <c r="F20" s="13" t="s">
        <v>480</v>
      </c>
      <c r="G20" s="14" t="s">
        <v>481</v>
      </c>
      <c r="H20" s="15" t="n">
        <v>46295</v>
      </c>
      <c r="I20" s="13" t="s">
        <v>482</v>
      </c>
      <c r="J20" s="13" t="s">
        <v>81</v>
      </c>
      <c r="K20" s="16" t="s">
        <v>11</v>
      </c>
      <c r="L20" s="15" t="n">
        <v>46295</v>
      </c>
      <c r="M20" s="13" t="s">
        <v>889</v>
      </c>
    </row>
    <row r="21" customFormat="false" ht="23.85" hidden="false" customHeight="false" outlineLevel="0" collapsed="false">
      <c r="A21" s="13" t="s">
        <v>890</v>
      </c>
      <c r="B21" s="13" t="s">
        <v>875</v>
      </c>
      <c r="C21" s="13" t="s">
        <v>374</v>
      </c>
      <c r="D21" s="13" t="s">
        <v>891</v>
      </c>
      <c r="E21" s="13" t="s">
        <v>892</v>
      </c>
      <c r="F21" s="13" t="s">
        <v>372</v>
      </c>
      <c r="G21" s="14" t="s">
        <v>373</v>
      </c>
      <c r="H21" s="15" t="n">
        <v>46295</v>
      </c>
      <c r="I21" s="13" t="s">
        <v>374</v>
      </c>
      <c r="J21" s="13" t="s">
        <v>81</v>
      </c>
      <c r="K21" s="16" t="s">
        <v>11</v>
      </c>
      <c r="L21" s="15" t="n">
        <v>46295</v>
      </c>
      <c r="M21" s="13" t="s">
        <v>893</v>
      </c>
    </row>
    <row r="22" customFormat="false" ht="23.85" hidden="false" customHeight="false" outlineLevel="0" collapsed="false">
      <c r="A22" s="13" t="s">
        <v>894</v>
      </c>
      <c r="B22" s="13" t="s">
        <v>838</v>
      </c>
      <c r="C22" s="13" t="s">
        <v>423</v>
      </c>
      <c r="D22" s="13" t="s">
        <v>895</v>
      </c>
      <c r="E22" s="13" t="s">
        <v>896</v>
      </c>
      <c r="F22" s="13" t="s">
        <v>897</v>
      </c>
      <c r="G22" s="14" t="s">
        <v>898</v>
      </c>
      <c r="H22" s="15" t="n">
        <v>46295</v>
      </c>
      <c r="I22" s="13" t="s">
        <v>423</v>
      </c>
      <c r="J22" s="13" t="s">
        <v>786</v>
      </c>
      <c r="K22" s="16" t="s">
        <v>11</v>
      </c>
      <c r="L22" s="15" t="n">
        <v>46295</v>
      </c>
      <c r="M22" s="13" t="s">
        <v>899</v>
      </c>
    </row>
    <row r="23" customFormat="false" ht="46.25" hidden="false" customHeight="false" outlineLevel="0" collapsed="false">
      <c r="A23" s="13" t="s">
        <v>900</v>
      </c>
      <c r="B23" s="13" t="s">
        <v>838</v>
      </c>
      <c r="C23" s="13" t="s">
        <v>423</v>
      </c>
      <c r="D23" s="13" t="s">
        <v>901</v>
      </c>
      <c r="E23" s="13" t="s">
        <v>892</v>
      </c>
      <c r="F23" s="13" t="s">
        <v>902</v>
      </c>
      <c r="G23" s="14" t="s">
        <v>903</v>
      </c>
      <c r="H23" s="15" t="n">
        <v>46295</v>
      </c>
      <c r="I23" s="13" t="s">
        <v>423</v>
      </c>
      <c r="J23" s="13" t="s">
        <v>786</v>
      </c>
      <c r="K23" s="16" t="s">
        <v>11</v>
      </c>
      <c r="L23" s="15" t="n">
        <v>46295</v>
      </c>
      <c r="M23" s="13" t="s">
        <v>904</v>
      </c>
    </row>
    <row r="24" customFormat="false" ht="23.85" hidden="false" customHeight="false" outlineLevel="0" collapsed="false">
      <c r="A24" s="13" t="s">
        <v>905</v>
      </c>
      <c r="B24" s="13" t="s">
        <v>882</v>
      </c>
      <c r="C24" s="13" t="s">
        <v>423</v>
      </c>
      <c r="D24" s="13" t="s">
        <v>906</v>
      </c>
      <c r="E24" s="13" t="s">
        <v>907</v>
      </c>
      <c r="F24" s="13" t="s">
        <v>470</v>
      </c>
      <c r="G24" s="14" t="s">
        <v>471</v>
      </c>
      <c r="H24" s="15" t="n">
        <v>46295</v>
      </c>
      <c r="I24" s="13" t="s">
        <v>423</v>
      </c>
      <c r="J24" s="13" t="s">
        <v>786</v>
      </c>
      <c r="K24" s="17" t="s">
        <v>13</v>
      </c>
      <c r="L24" s="15" t="n">
        <v>46295</v>
      </c>
      <c r="M24" s="13" t="s">
        <v>908</v>
      </c>
    </row>
    <row r="25" customFormat="false" ht="23.85" hidden="false" customHeight="false" outlineLevel="0" collapsed="false">
      <c r="A25" s="13" t="s">
        <v>909</v>
      </c>
      <c r="B25" s="13" t="s">
        <v>838</v>
      </c>
      <c r="C25" s="13" t="s">
        <v>910</v>
      </c>
      <c r="D25" s="13" t="s">
        <v>911</v>
      </c>
      <c r="E25" s="13" t="s">
        <v>912</v>
      </c>
      <c r="F25" s="13" t="s">
        <v>913</v>
      </c>
      <c r="G25" s="14" t="s">
        <v>914</v>
      </c>
      <c r="H25" s="15" t="n">
        <v>46295</v>
      </c>
      <c r="I25" s="13" t="s">
        <v>915</v>
      </c>
      <c r="J25" s="13" t="s">
        <v>98</v>
      </c>
      <c r="K25" s="18" t="s">
        <v>15</v>
      </c>
      <c r="L25" s="15" t="n">
        <v>46295</v>
      </c>
      <c r="M25" s="13" t="s">
        <v>916</v>
      </c>
    </row>
    <row r="26" customFormat="false" ht="23.85" hidden="false" customHeight="false" outlineLevel="0" collapsed="false">
      <c r="A26" s="13" t="s">
        <v>917</v>
      </c>
      <c r="B26" s="13" t="s">
        <v>838</v>
      </c>
      <c r="C26" s="13" t="s">
        <v>918</v>
      </c>
      <c r="D26" s="13" t="s">
        <v>919</v>
      </c>
      <c r="E26" s="13" t="s">
        <v>920</v>
      </c>
      <c r="F26" s="13" t="s">
        <v>921</v>
      </c>
      <c r="G26" s="14" t="s">
        <v>922</v>
      </c>
      <c r="H26" s="15" t="n">
        <v>46295</v>
      </c>
      <c r="I26" s="13" t="s">
        <v>915</v>
      </c>
      <c r="J26" s="13" t="s">
        <v>98</v>
      </c>
      <c r="K26" s="17" t="s">
        <v>13</v>
      </c>
      <c r="L26" s="15" t="n">
        <v>46295</v>
      </c>
      <c r="M26" s="13" t="s">
        <v>923</v>
      </c>
    </row>
    <row r="27" customFormat="false" ht="23.85" hidden="false" customHeight="false" outlineLevel="0" collapsed="false">
      <c r="A27" s="13" t="s">
        <v>924</v>
      </c>
      <c r="B27" s="13" t="s">
        <v>875</v>
      </c>
      <c r="C27" s="13" t="s">
        <v>918</v>
      </c>
      <c r="D27" s="13" t="s">
        <v>919</v>
      </c>
      <c r="E27" s="13" t="s">
        <v>925</v>
      </c>
      <c r="F27" s="13" t="s">
        <v>921</v>
      </c>
      <c r="G27" s="14" t="s">
        <v>922</v>
      </c>
      <c r="H27" s="15" t="n">
        <v>46295</v>
      </c>
      <c r="I27" s="13" t="s">
        <v>915</v>
      </c>
      <c r="J27" s="13" t="s">
        <v>98</v>
      </c>
      <c r="K27" s="17" t="s">
        <v>13</v>
      </c>
      <c r="L27" s="15" t="n">
        <v>46295</v>
      </c>
      <c r="M27" s="13" t="s">
        <v>926</v>
      </c>
    </row>
    <row r="28" customFormat="false" ht="23.85" hidden="false" customHeight="false" outlineLevel="0" collapsed="false">
      <c r="A28" s="13" t="s">
        <v>927</v>
      </c>
      <c r="B28" s="13" t="s">
        <v>838</v>
      </c>
      <c r="C28" s="13" t="s">
        <v>918</v>
      </c>
      <c r="D28" s="13" t="s">
        <v>919</v>
      </c>
      <c r="E28" s="13" t="s">
        <v>928</v>
      </c>
      <c r="F28" s="13" t="s">
        <v>921</v>
      </c>
      <c r="G28" s="14" t="s">
        <v>922</v>
      </c>
      <c r="H28" s="15" t="n">
        <v>46295</v>
      </c>
      <c r="I28" s="13" t="s">
        <v>915</v>
      </c>
      <c r="J28" s="13" t="s">
        <v>98</v>
      </c>
      <c r="K28" s="17" t="s">
        <v>13</v>
      </c>
      <c r="L28" s="15" t="n">
        <v>46295</v>
      </c>
      <c r="M28" s="13" t="s">
        <v>929</v>
      </c>
    </row>
    <row r="29" customFormat="false" ht="23.85" hidden="false" customHeight="false" outlineLevel="0" collapsed="false">
      <c r="A29" s="13" t="s">
        <v>930</v>
      </c>
      <c r="B29" s="13" t="s">
        <v>875</v>
      </c>
      <c r="C29" s="13" t="s">
        <v>918</v>
      </c>
      <c r="D29" s="13" t="s">
        <v>919</v>
      </c>
      <c r="E29" s="13" t="s">
        <v>931</v>
      </c>
      <c r="F29" s="13" t="s">
        <v>921</v>
      </c>
      <c r="G29" s="14" t="s">
        <v>922</v>
      </c>
      <c r="H29" s="15" t="n">
        <v>46295</v>
      </c>
      <c r="I29" s="13" t="s">
        <v>915</v>
      </c>
      <c r="J29" s="13" t="s">
        <v>98</v>
      </c>
      <c r="K29" s="17" t="s">
        <v>13</v>
      </c>
      <c r="L29" s="15" t="n">
        <v>46295</v>
      </c>
      <c r="M29" s="13"/>
    </row>
    <row r="30" customFormat="false" ht="23.85" hidden="false" customHeight="false" outlineLevel="0" collapsed="false">
      <c r="A30" s="13" t="s">
        <v>932</v>
      </c>
      <c r="B30" s="13" t="s">
        <v>838</v>
      </c>
      <c r="C30" s="13" t="s">
        <v>933</v>
      </c>
      <c r="D30" s="13" t="s">
        <v>919</v>
      </c>
      <c r="E30" s="13" t="s">
        <v>892</v>
      </c>
      <c r="F30" s="13" t="s">
        <v>934</v>
      </c>
      <c r="G30" s="14" t="s">
        <v>935</v>
      </c>
      <c r="H30" s="15" t="n">
        <v>46295</v>
      </c>
      <c r="I30" s="13" t="s">
        <v>915</v>
      </c>
      <c r="J30" s="13" t="s">
        <v>853</v>
      </c>
      <c r="K30" s="16" t="s">
        <v>11</v>
      </c>
      <c r="L30" s="15" t="n">
        <v>46295</v>
      </c>
      <c r="M30" s="13" t="s">
        <v>936</v>
      </c>
    </row>
    <row r="31" customFormat="false" ht="23.85" hidden="false" customHeight="false" outlineLevel="0" collapsed="false">
      <c r="A31" s="13" t="s">
        <v>886</v>
      </c>
      <c r="B31" s="13" t="s">
        <v>887</v>
      </c>
      <c r="C31" s="13" t="s">
        <v>937</v>
      </c>
      <c r="D31" s="13" t="s">
        <v>919</v>
      </c>
      <c r="E31" s="13" t="s">
        <v>938</v>
      </c>
      <c r="F31" s="13" t="s">
        <v>939</v>
      </c>
      <c r="G31" s="14" t="s">
        <v>940</v>
      </c>
      <c r="H31" s="15" t="n">
        <v>46295</v>
      </c>
      <c r="I31" s="13" t="s">
        <v>915</v>
      </c>
      <c r="J31" s="13" t="s">
        <v>98</v>
      </c>
      <c r="K31" s="17" t="s">
        <v>13</v>
      </c>
      <c r="L31" s="15" t="n">
        <v>46295</v>
      </c>
      <c r="M31" s="13" t="s">
        <v>941</v>
      </c>
    </row>
  </sheetData>
  <autoFilter ref="A1:M31"/>
  <dataValidations count="1">
    <dataValidation allowBlank="true" errorStyle="stop" operator="between" showDropDown="false" showErrorMessage="false" showInputMessage="false" sqref="K2:K500" type="list">
      <formula1>"Primary source,Secondary - unverified,Conflicting,Not researched"</formula1>
      <formula2>0</formula2>
    </dataValidation>
  </dataValidations>
  <hyperlinks>
    <hyperlink ref="G2" r:id="rId1" display="https://www.dfs.ny.gov/consumers/auto_insurance/discounts_list"/>
    <hyperlink ref="G3" r:id="rId2" display="https://www.dfs.ny.gov/consumers/auto_insurance/discounts_list"/>
    <hyperlink ref="G4" r:id="rId3" display="https://www.dfs.ny.gov/consumers/auto_insurance/discounts_list"/>
    <hyperlink ref="G5" r:id="rId4" display="https://www.dfs.ny.gov/consumers/auto_insurance/discounts_list"/>
    <hyperlink ref="G6" r:id="rId5" display="https://www.dfs.ny.gov/consumers/auto_insurance/discounts_list"/>
    <hyperlink ref="G7" r:id="rId6" display="https://www.dfs.ny.gov/consumers/auto_insurance/discounts_list"/>
    <hyperlink ref="G8" r:id="rId7" display="https://www.moneygeek.com/insurance/auto/defensive-driver-courses/"/>
    <hyperlink ref="G9" r:id="rId8" display="https://www.moneygeek.com/insurance/auto/defensive-driver-courses/"/>
    <hyperlink ref="G10" r:id="rId9" display="https://www.geico.com/save/discounts/defensive-driver-discounts/"/>
    <hyperlink ref="G11" r:id="rId10" display="https://www.geico.com/save/discounts/defensive-driver-discounts/"/>
    <hyperlink ref="G12" r:id="rId11" display="https://www.geico.com/save/discounts/defensive-driver-discounts/"/>
    <hyperlink ref="G13" r:id="rId12" display="https://www.moneygeek.com/insurance/auto/defensive-driver-courses/"/>
    <hyperlink ref="G14" r:id="rId13" display="https://www.insurance.ca.gov/01-consumers/105-type/95-guides/01-auto/auto101.cfm"/>
    <hyperlink ref="G15" r:id="rId14" display="https://www.insurance.ca.gov/0250-insurers/0300-insurers/0200-bulletins/bulletin-notices-commiss-opinion/upload/Advisory-Notice-2005-02.pdf"/>
    <hyperlink ref="G16" r:id="rId15" display="https://codes.findlaw.com/ca/insurance-code/ins-sect-11628-3/"/>
    <hyperlink ref="G17" r:id="rId16" display="https://www.insurance.ca.gov/0250-insurers/0300-insurers/0200-bulletins/bulletin-notices-commiss-opinion/upload/Advisory-Notice-2005-02.pdf"/>
    <hyperlink ref="G18" r:id="rId17" display="https://www.dfs.ny.gov/consumers/auto_insurance/Auto_resource_center"/>
    <hyperlink ref="G19" r:id="rId18" display="https://www.dfs.ny.gov/consumers/auto_insurance/Auto_resource_center"/>
    <hyperlink ref="G20" r:id="rId19" display="https://www.dfs.ny.gov/consumers/auto_insurance/Auto_resource_center"/>
    <hyperlink ref="G21" r:id="rId20" display="https://www.tdi.texas.gov/pubs/consumer/cb020.html"/>
    <hyperlink ref="G22" r:id="rId21" display="https://flsenate.gov/Laws/Statutes/2003/627.06501"/>
    <hyperlink ref="G23" r:id="rId22" display="https://www.flsenate.gov/laws/statutes/2012/627.0652"/>
    <hyperlink ref="G24" r:id="rId23" display="https://www.flsenate.gov/Laws/Statutes/2025/Chapter627/All"/>
    <hyperlink ref="G25" r:id="rId24" display="https://www.safedriver.com/news/defensive-driving-for-insurance-discount-2026-how-much-you-can-really-save"/>
    <hyperlink ref="G26" r:id="rId25" display="https://www.insurance.com/auto-insurance/car-insurance-discounts.html"/>
    <hyperlink ref="G27" r:id="rId26" display="https://www.insurance.com/auto-insurance/car-insurance-discounts.html"/>
    <hyperlink ref="G28" r:id="rId27" display="https://www.insurance.com/auto-insurance/car-insurance-discounts.html"/>
    <hyperlink ref="G29" r:id="rId28" display="https://www.insurance.com/auto-insurance/car-insurance-discounts.html"/>
    <hyperlink ref="G30" r:id="rId29" display="https://www.statefarm.com/insurance/auto/discounts"/>
    <hyperlink ref="G31" r:id="rId30" display="https://insurify.com/car-insurance/coverage/telematic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32"/>
    <col collapsed="false" customWidth="true" hidden="false" outlineLevel="0" max="5" min="5" style="0" width="30"/>
    <col collapsed="false" customWidth="true" hidden="false" outlineLevel="0" max="6" min="6" style="0" width="20"/>
    <col collapsed="false" customWidth="true" hidden="false" outlineLevel="0" max="7" min="7" style="0" width="40"/>
    <col collapsed="false" customWidth="true" hidden="false" outlineLevel="0" max="8" min="8" style="0" width="34"/>
    <col collapsed="false" customWidth="true" hidden="false" outlineLevel="0" max="9" min="9" style="0" width="42"/>
    <col collapsed="false" customWidth="true" hidden="false" outlineLevel="0" max="10" min="10" style="0" width="12"/>
    <col collapsed="false" customWidth="true" hidden="false" outlineLevel="0" max="11" min="11" style="0" width="20"/>
    <col collapsed="false" customWidth="true" hidden="false" outlineLevel="0" max="12" min="12" style="0" width="24"/>
    <col collapsed="false" customWidth="true" hidden="false" outlineLevel="0" max="13" min="13" style="0" width="20"/>
    <col collapsed="false" customWidth="true" hidden="false" outlineLevel="0" max="14" min="14" style="0" width="12"/>
    <col collapsed="false" customWidth="true" hidden="false" outlineLevel="0" max="15" min="15" style="0" width="60"/>
  </cols>
  <sheetData>
    <row r="1" customFormat="false" ht="31.5" hidden="false" customHeight="true" outlineLevel="0" collapsed="false">
      <c r="A1" s="12" t="s">
        <v>942</v>
      </c>
      <c r="B1" s="12" t="s">
        <v>943</v>
      </c>
      <c r="C1" s="12" t="s">
        <v>944</v>
      </c>
      <c r="D1" s="12" t="s">
        <v>945</v>
      </c>
      <c r="E1" s="12" t="s">
        <v>946</v>
      </c>
      <c r="F1" s="12" t="s">
        <v>947</v>
      </c>
      <c r="G1" s="12" t="s">
        <v>948</v>
      </c>
      <c r="H1" s="12" t="s">
        <v>66</v>
      </c>
      <c r="I1" s="12" t="s">
        <v>67</v>
      </c>
      <c r="J1" s="12" t="s">
        <v>68</v>
      </c>
      <c r="K1" s="12" t="s">
        <v>69</v>
      </c>
      <c r="L1" s="12" t="s">
        <v>70</v>
      </c>
      <c r="M1" s="12" t="s">
        <v>71</v>
      </c>
      <c r="N1" s="12" t="s">
        <v>72</v>
      </c>
      <c r="O1" s="12" t="s">
        <v>73</v>
      </c>
    </row>
    <row r="2" customFormat="false" ht="23.85" hidden="false" customHeight="false" outlineLevel="0" collapsed="false">
      <c r="A2" s="13" t="s">
        <v>949</v>
      </c>
      <c r="B2" s="13" t="s">
        <v>950</v>
      </c>
      <c r="C2" s="13" t="s">
        <v>951</v>
      </c>
      <c r="D2" s="13" t="s">
        <v>952</v>
      </c>
      <c r="E2" s="13" t="s">
        <v>953</v>
      </c>
      <c r="F2" s="13" t="s">
        <v>892</v>
      </c>
      <c r="G2" s="13" t="s">
        <v>954</v>
      </c>
      <c r="H2" s="13" t="s">
        <v>955</v>
      </c>
      <c r="I2" s="14" t="s">
        <v>956</v>
      </c>
      <c r="J2" s="15" t="n">
        <v>46295</v>
      </c>
      <c r="K2" s="13" t="s">
        <v>957</v>
      </c>
      <c r="L2" s="13" t="s">
        <v>98</v>
      </c>
      <c r="M2" s="18" t="s">
        <v>15</v>
      </c>
      <c r="N2" s="15" t="n">
        <v>46295</v>
      </c>
      <c r="O2" s="13" t="s">
        <v>958</v>
      </c>
    </row>
    <row r="3" customFormat="false" ht="23.85" hidden="false" customHeight="false" outlineLevel="0" collapsed="false">
      <c r="A3" s="13" t="s">
        <v>959</v>
      </c>
      <c r="B3" s="13" t="s">
        <v>960</v>
      </c>
      <c r="C3" s="13" t="s">
        <v>961</v>
      </c>
      <c r="D3" s="13" t="s">
        <v>962</v>
      </c>
      <c r="E3" s="13" t="s">
        <v>963</v>
      </c>
      <c r="F3" s="13" t="s">
        <v>964</v>
      </c>
      <c r="G3" s="13" t="s">
        <v>965</v>
      </c>
      <c r="H3" s="13" t="s">
        <v>939</v>
      </c>
      <c r="I3" s="14" t="s">
        <v>940</v>
      </c>
      <c r="J3" s="15" t="n">
        <v>46295</v>
      </c>
      <c r="K3" s="13" t="s">
        <v>966</v>
      </c>
      <c r="L3" s="13" t="s">
        <v>98</v>
      </c>
      <c r="M3" s="18" t="s">
        <v>15</v>
      </c>
      <c r="N3" s="15" t="n">
        <v>46295</v>
      </c>
      <c r="O3" s="13" t="s">
        <v>967</v>
      </c>
    </row>
    <row r="4" customFormat="false" ht="23.85" hidden="false" customHeight="false" outlineLevel="0" collapsed="false">
      <c r="A4" s="13" t="s">
        <v>968</v>
      </c>
      <c r="B4" s="13" t="s">
        <v>969</v>
      </c>
      <c r="C4" s="13" t="s">
        <v>970</v>
      </c>
      <c r="D4" s="13" t="s">
        <v>962</v>
      </c>
      <c r="E4" s="13" t="s">
        <v>971</v>
      </c>
      <c r="F4" s="13" t="s">
        <v>964</v>
      </c>
      <c r="G4" s="13" t="s">
        <v>892</v>
      </c>
      <c r="H4" s="13" t="s">
        <v>972</v>
      </c>
      <c r="I4" s="14" t="s">
        <v>973</v>
      </c>
      <c r="J4" s="15" t="n">
        <v>46295</v>
      </c>
      <c r="K4" s="13" t="s">
        <v>966</v>
      </c>
      <c r="L4" s="13" t="s">
        <v>98</v>
      </c>
      <c r="M4" s="17" t="s">
        <v>13</v>
      </c>
      <c r="N4" s="15" t="n">
        <v>46295</v>
      </c>
      <c r="O4" s="13" t="s">
        <v>974</v>
      </c>
    </row>
    <row r="5" customFormat="false" ht="23.85" hidden="false" customHeight="false" outlineLevel="0" collapsed="false">
      <c r="A5" s="13" t="s">
        <v>975</v>
      </c>
      <c r="B5" s="13" t="s">
        <v>976</v>
      </c>
      <c r="C5" s="13" t="s">
        <v>977</v>
      </c>
      <c r="D5" s="13" t="s">
        <v>705</v>
      </c>
      <c r="E5" s="13" t="s">
        <v>892</v>
      </c>
      <c r="F5" s="13" t="s">
        <v>892</v>
      </c>
      <c r="G5" s="13" t="s">
        <v>978</v>
      </c>
      <c r="H5" s="13" t="s">
        <v>939</v>
      </c>
      <c r="I5" s="14" t="s">
        <v>940</v>
      </c>
      <c r="J5" s="15" t="n">
        <v>46295</v>
      </c>
      <c r="K5" s="13" t="s">
        <v>915</v>
      </c>
      <c r="L5" s="13" t="s">
        <v>98</v>
      </c>
      <c r="M5" s="17" t="s">
        <v>13</v>
      </c>
      <c r="N5" s="15" t="n">
        <v>46295</v>
      </c>
      <c r="O5" s="13" t="s">
        <v>979</v>
      </c>
    </row>
    <row r="6" customFormat="false" ht="23.85" hidden="false" customHeight="false" outlineLevel="0" collapsed="false">
      <c r="A6" s="13" t="s">
        <v>980</v>
      </c>
      <c r="B6" s="13" t="s">
        <v>981</v>
      </c>
      <c r="C6" s="13" t="s">
        <v>982</v>
      </c>
      <c r="D6" s="13" t="s">
        <v>983</v>
      </c>
      <c r="E6" s="13" t="s">
        <v>892</v>
      </c>
      <c r="F6" s="13" t="s">
        <v>892</v>
      </c>
      <c r="G6" s="13" t="s">
        <v>892</v>
      </c>
      <c r="H6" s="13" t="s">
        <v>955</v>
      </c>
      <c r="I6" s="14" t="s">
        <v>956</v>
      </c>
      <c r="J6" s="15" t="n">
        <v>46295</v>
      </c>
      <c r="K6" s="13" t="s">
        <v>984</v>
      </c>
      <c r="L6" s="13" t="s">
        <v>98</v>
      </c>
      <c r="M6" s="17" t="s">
        <v>13</v>
      </c>
      <c r="N6" s="15" t="n">
        <v>46295</v>
      </c>
      <c r="O6" s="13" t="s">
        <v>985</v>
      </c>
    </row>
    <row r="7" customFormat="false" ht="23.85" hidden="false" customHeight="false" outlineLevel="0" collapsed="false">
      <c r="A7" s="13" t="s">
        <v>980</v>
      </c>
      <c r="B7" s="13" t="s">
        <v>986</v>
      </c>
      <c r="C7" s="13" t="s">
        <v>987</v>
      </c>
      <c r="D7" s="13" t="s">
        <v>705</v>
      </c>
      <c r="E7" s="13" t="s">
        <v>892</v>
      </c>
      <c r="F7" s="13" t="s">
        <v>892</v>
      </c>
      <c r="G7" s="13" t="s">
        <v>892</v>
      </c>
      <c r="H7" s="13" t="s">
        <v>955</v>
      </c>
      <c r="I7" s="14" t="s">
        <v>956</v>
      </c>
      <c r="J7" s="15" t="n">
        <v>46295</v>
      </c>
      <c r="K7" s="13" t="s">
        <v>915</v>
      </c>
      <c r="L7" s="13" t="s">
        <v>98</v>
      </c>
      <c r="M7" s="17" t="s">
        <v>13</v>
      </c>
      <c r="N7" s="15" t="n">
        <v>46295</v>
      </c>
      <c r="O7" s="13" t="s">
        <v>988</v>
      </c>
    </row>
    <row r="8" customFormat="false" ht="23.85" hidden="false" customHeight="false" outlineLevel="0" collapsed="false">
      <c r="A8" s="13" t="s">
        <v>968</v>
      </c>
      <c r="B8" s="13" t="s">
        <v>989</v>
      </c>
      <c r="C8" s="13" t="s">
        <v>987</v>
      </c>
      <c r="D8" s="13" t="s">
        <v>705</v>
      </c>
      <c r="E8" s="13" t="s">
        <v>892</v>
      </c>
      <c r="F8" s="13" t="s">
        <v>892</v>
      </c>
      <c r="G8" s="13" t="s">
        <v>892</v>
      </c>
      <c r="H8" s="13" t="s">
        <v>955</v>
      </c>
      <c r="I8" s="14" t="s">
        <v>956</v>
      </c>
      <c r="J8" s="15" t="n">
        <v>46295</v>
      </c>
      <c r="K8" s="13" t="s">
        <v>915</v>
      </c>
      <c r="L8" s="13" t="s">
        <v>98</v>
      </c>
      <c r="M8" s="17" t="s">
        <v>13</v>
      </c>
      <c r="N8" s="15" t="n">
        <v>46295</v>
      </c>
      <c r="O8" s="13"/>
    </row>
    <row r="9" customFormat="false" ht="23.85" hidden="false" customHeight="false" outlineLevel="0" collapsed="false">
      <c r="A9" s="13" t="s">
        <v>990</v>
      </c>
      <c r="B9" s="13" t="s">
        <v>991</v>
      </c>
      <c r="C9" s="13" t="s">
        <v>992</v>
      </c>
      <c r="D9" s="13" t="s">
        <v>705</v>
      </c>
      <c r="E9" s="13" t="s">
        <v>705</v>
      </c>
      <c r="F9" s="13" t="s">
        <v>705</v>
      </c>
      <c r="G9" s="13" t="s">
        <v>705</v>
      </c>
      <c r="H9" s="13" t="s">
        <v>993</v>
      </c>
      <c r="I9" s="14" t="s">
        <v>994</v>
      </c>
      <c r="J9" s="15" t="n">
        <v>46295</v>
      </c>
      <c r="K9" s="13" t="s">
        <v>915</v>
      </c>
      <c r="L9" s="13" t="s">
        <v>98</v>
      </c>
      <c r="M9" s="19" t="s">
        <v>17</v>
      </c>
      <c r="N9" s="15" t="n">
        <v>46295</v>
      </c>
      <c r="O9" s="13" t="s">
        <v>995</v>
      </c>
    </row>
    <row r="10" customFormat="false" ht="23.85" hidden="false" customHeight="false" outlineLevel="0" collapsed="false">
      <c r="A10" s="13" t="s">
        <v>996</v>
      </c>
      <c r="B10" s="13" t="s">
        <v>997</v>
      </c>
      <c r="C10" s="13" t="s">
        <v>998</v>
      </c>
      <c r="D10" s="13" t="s">
        <v>482</v>
      </c>
      <c r="E10" s="13" t="s">
        <v>868</v>
      </c>
      <c r="F10" s="13" t="s">
        <v>868</v>
      </c>
      <c r="G10" s="13" t="s">
        <v>892</v>
      </c>
      <c r="H10" s="13" t="s">
        <v>480</v>
      </c>
      <c r="I10" s="14" t="s">
        <v>481</v>
      </c>
      <c r="J10" s="15" t="n">
        <v>46295</v>
      </c>
      <c r="K10" s="13" t="s">
        <v>482</v>
      </c>
      <c r="L10" s="13" t="s">
        <v>81</v>
      </c>
      <c r="M10" s="16" t="s">
        <v>11</v>
      </c>
      <c r="N10" s="15" t="n">
        <v>46295</v>
      </c>
      <c r="O10" s="13" t="s">
        <v>999</v>
      </c>
    </row>
    <row r="11" customFormat="false" ht="23.85" hidden="false" customHeight="false" outlineLevel="0" collapsed="false">
      <c r="A11" s="13" t="s">
        <v>996</v>
      </c>
      <c r="B11" s="13" t="s">
        <v>1000</v>
      </c>
      <c r="C11" s="13" t="s">
        <v>998</v>
      </c>
      <c r="D11" s="13" t="s">
        <v>374</v>
      </c>
      <c r="E11" s="13" t="s">
        <v>892</v>
      </c>
      <c r="F11" s="13" t="s">
        <v>892</v>
      </c>
      <c r="G11" s="13" t="s">
        <v>892</v>
      </c>
      <c r="H11" s="13" t="s">
        <v>372</v>
      </c>
      <c r="I11" s="14" t="s">
        <v>373</v>
      </c>
      <c r="J11" s="15" t="n">
        <v>46295</v>
      </c>
      <c r="K11" s="13" t="s">
        <v>374</v>
      </c>
      <c r="L11" s="13" t="s">
        <v>81</v>
      </c>
      <c r="M11" s="19" t="s">
        <v>17</v>
      </c>
      <c r="N11" s="15" t="n">
        <v>46295</v>
      </c>
      <c r="O11" s="13" t="s">
        <v>1001</v>
      </c>
    </row>
  </sheetData>
  <autoFilter ref="A1:O11"/>
  <dataValidations count="1">
    <dataValidation allowBlank="true" errorStyle="stop" operator="between" showDropDown="false" showErrorMessage="false" showInputMessage="false" sqref="M2:M500" type="list">
      <formula1>"Primary source,Secondary - unverified,Conflicting,Not researched"</formula1>
      <formula2>0</formula2>
    </dataValidation>
  </dataValidations>
  <hyperlinks>
    <hyperlink ref="I2" r:id="rId1" display="https://www.bankrate.com/insurance/car/are-telematics-programs-worth-the-discount/"/>
    <hyperlink ref="I3" r:id="rId2" display="https://insurify.com/car-insurance/coverage/telematics/"/>
    <hyperlink ref="I4" r:id="rId3" display="https://www.insuremojo.com/telematics-insurance-discount-programs/"/>
    <hyperlink ref="I5" r:id="rId4" display="https://insurify.com/car-insurance/coverage/telematics/"/>
    <hyperlink ref="I6" r:id="rId5" display="https://www.bankrate.com/insurance/car/are-telematics-programs-worth-the-discount/"/>
    <hyperlink ref="I7" r:id="rId6" display="https://www.bankrate.com/insurance/car/are-telematics-programs-worth-the-discount/"/>
    <hyperlink ref="I8" r:id="rId7" display="https://www.bankrate.com/insurance/car/are-telematics-programs-worth-the-discount/"/>
    <hyperlink ref="I9" r:id="rId8" display="https://www.quoteyeti.com/blog/telematics-tradeoffs/"/>
    <hyperlink ref="I10" r:id="rId9" display="https://www.dfs.ny.gov/consumers/auto_insurance/Auto_resource_center"/>
    <hyperlink ref="I11" r:id="rId10" display="https://www.tdi.texas.gov/pubs/consumer/cb020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44"/>
    <col collapsed="false" customWidth="true" hidden="false" outlineLevel="0" max="5" min="5" style="0" width="34"/>
    <col collapsed="false" customWidth="true" hidden="false" outlineLevel="0" max="6" min="6" style="0" width="4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31.5" hidden="false" customHeight="true" outlineLevel="0" collapsed="false">
      <c r="A1" s="12" t="s">
        <v>212</v>
      </c>
      <c r="B1" s="12" t="s">
        <v>1002</v>
      </c>
      <c r="C1" s="12" t="s">
        <v>64</v>
      </c>
      <c r="D1" s="12" t="s">
        <v>1003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35.05" hidden="false" customHeight="false" outlineLevel="0" collapsed="false">
      <c r="A2" s="13" t="s">
        <v>1004</v>
      </c>
      <c r="B2" s="13" t="s">
        <v>1005</v>
      </c>
      <c r="C2" s="13" t="s">
        <v>847</v>
      </c>
      <c r="D2" s="13" t="s">
        <v>1006</v>
      </c>
      <c r="E2" s="13" t="s">
        <v>1007</v>
      </c>
      <c r="F2" s="14" t="s">
        <v>1008</v>
      </c>
      <c r="G2" s="15" t="n">
        <v>46295</v>
      </c>
      <c r="H2" s="13" t="s">
        <v>1009</v>
      </c>
      <c r="I2" s="13" t="s">
        <v>81</v>
      </c>
      <c r="J2" s="16" t="s">
        <v>11</v>
      </c>
      <c r="K2" s="15" t="n">
        <v>46295</v>
      </c>
      <c r="L2" s="13" t="s">
        <v>1010</v>
      </c>
    </row>
    <row r="3" customFormat="false" ht="23.85" hidden="false" customHeight="false" outlineLevel="0" collapsed="false">
      <c r="A3" s="13" t="s">
        <v>1011</v>
      </c>
      <c r="B3" s="13" t="s">
        <v>1012</v>
      </c>
      <c r="C3" s="13" t="n">
        <v>250000</v>
      </c>
      <c r="D3" s="13" t="s">
        <v>1013</v>
      </c>
      <c r="E3" s="13" t="s">
        <v>1014</v>
      </c>
      <c r="F3" s="14" t="s">
        <v>1015</v>
      </c>
      <c r="G3" s="15" t="n">
        <v>46295</v>
      </c>
      <c r="H3" s="13" t="s">
        <v>1009</v>
      </c>
      <c r="I3" s="13" t="s">
        <v>98</v>
      </c>
      <c r="J3" s="17" t="s">
        <v>13</v>
      </c>
      <c r="K3" s="15" t="n">
        <v>46295</v>
      </c>
      <c r="L3" s="13" t="s">
        <v>1016</v>
      </c>
    </row>
    <row r="4" customFormat="false" ht="23.85" hidden="false" customHeight="false" outlineLevel="0" collapsed="false">
      <c r="A4" s="13" t="s">
        <v>1011</v>
      </c>
      <c r="B4" s="13" t="s">
        <v>1017</v>
      </c>
      <c r="C4" s="13" t="n">
        <v>100000</v>
      </c>
      <c r="D4" s="13" t="s">
        <v>1013</v>
      </c>
      <c r="E4" s="13" t="s">
        <v>1014</v>
      </c>
      <c r="F4" s="14" t="s">
        <v>1015</v>
      </c>
      <c r="G4" s="15" t="n">
        <v>46295</v>
      </c>
      <c r="H4" s="13" t="s">
        <v>1009</v>
      </c>
      <c r="I4" s="13" t="s">
        <v>98</v>
      </c>
      <c r="J4" s="17" t="s">
        <v>13</v>
      </c>
      <c r="K4" s="15" t="n">
        <v>46295</v>
      </c>
      <c r="L4" s="13" t="s">
        <v>1018</v>
      </c>
    </row>
    <row r="5" customFormat="false" ht="23.85" hidden="false" customHeight="false" outlineLevel="0" collapsed="false">
      <c r="A5" s="13" t="s">
        <v>1011</v>
      </c>
      <c r="B5" s="13" t="s">
        <v>546</v>
      </c>
      <c r="C5" s="13" t="s">
        <v>1019</v>
      </c>
      <c r="D5" s="13" t="s">
        <v>1020</v>
      </c>
      <c r="E5" s="13" t="s">
        <v>1014</v>
      </c>
      <c r="F5" s="14" t="s">
        <v>1015</v>
      </c>
      <c r="G5" s="15" t="n">
        <v>46295</v>
      </c>
      <c r="H5" s="13" t="s">
        <v>1009</v>
      </c>
      <c r="I5" s="13" t="s">
        <v>98</v>
      </c>
      <c r="J5" s="17" t="s">
        <v>13</v>
      </c>
      <c r="K5" s="15" t="n">
        <v>46295</v>
      </c>
      <c r="L5" s="13"/>
    </row>
    <row r="6" customFormat="false" ht="23.85" hidden="false" customHeight="false" outlineLevel="0" collapsed="false">
      <c r="A6" s="13" t="s">
        <v>1011</v>
      </c>
      <c r="B6" s="13" t="s">
        <v>1021</v>
      </c>
      <c r="C6" s="13" t="s">
        <v>1022</v>
      </c>
      <c r="D6" s="13" t="s">
        <v>1023</v>
      </c>
      <c r="E6" s="13" t="s">
        <v>1014</v>
      </c>
      <c r="F6" s="14" t="s">
        <v>1015</v>
      </c>
      <c r="G6" s="15" t="n">
        <v>46295</v>
      </c>
      <c r="H6" s="13" t="s">
        <v>1009</v>
      </c>
      <c r="I6" s="13" t="s">
        <v>1024</v>
      </c>
      <c r="J6" s="17" t="s">
        <v>13</v>
      </c>
      <c r="K6" s="15" t="n">
        <v>46295</v>
      </c>
      <c r="L6" s="13" t="s">
        <v>1025</v>
      </c>
    </row>
    <row r="7" customFormat="false" ht="23.85" hidden="false" customHeight="false" outlineLevel="0" collapsed="false">
      <c r="A7" s="13" t="s">
        <v>1011</v>
      </c>
      <c r="B7" s="13" t="s">
        <v>1026</v>
      </c>
      <c r="C7" s="13" t="s">
        <v>1027</v>
      </c>
      <c r="D7" s="13" t="s">
        <v>1028</v>
      </c>
      <c r="E7" s="13" t="s">
        <v>1029</v>
      </c>
      <c r="F7" s="14" t="s">
        <v>1030</v>
      </c>
      <c r="G7" s="15" t="n">
        <v>46295</v>
      </c>
      <c r="H7" s="13" t="s">
        <v>1009</v>
      </c>
      <c r="I7" s="13" t="s">
        <v>98</v>
      </c>
      <c r="J7" s="17" t="s">
        <v>13</v>
      </c>
      <c r="K7" s="15" t="n">
        <v>46295</v>
      </c>
      <c r="L7" s="13" t="s">
        <v>1031</v>
      </c>
    </row>
    <row r="8" customFormat="false" ht="23.85" hidden="false" customHeight="false" outlineLevel="0" collapsed="false">
      <c r="A8" s="13" t="s">
        <v>1011</v>
      </c>
      <c r="B8" s="13" t="s">
        <v>1032</v>
      </c>
      <c r="C8" s="13" t="s">
        <v>1033</v>
      </c>
      <c r="D8" s="13" t="s">
        <v>1034</v>
      </c>
      <c r="E8" s="13" t="s">
        <v>1035</v>
      </c>
      <c r="F8" s="14" t="s">
        <v>1036</v>
      </c>
      <c r="G8" s="15" t="n">
        <v>46295</v>
      </c>
      <c r="H8" s="13" t="s">
        <v>1009</v>
      </c>
      <c r="I8" s="13" t="s">
        <v>1024</v>
      </c>
      <c r="J8" s="18" t="s">
        <v>15</v>
      </c>
      <c r="K8" s="15" t="n">
        <v>46295</v>
      </c>
      <c r="L8" s="13" t="s">
        <v>1037</v>
      </c>
    </row>
    <row r="9" customFormat="false" ht="35.05" hidden="false" customHeight="false" outlineLevel="0" collapsed="false">
      <c r="A9" s="13" t="s">
        <v>1011</v>
      </c>
      <c r="B9" s="13" t="s">
        <v>1038</v>
      </c>
      <c r="C9" s="13" t="s">
        <v>1039</v>
      </c>
      <c r="D9" s="13" t="s">
        <v>1040</v>
      </c>
      <c r="E9" s="13" t="s">
        <v>1041</v>
      </c>
      <c r="F9" s="14" t="s">
        <v>1042</v>
      </c>
      <c r="G9" s="15" t="n">
        <v>46295</v>
      </c>
      <c r="H9" s="13" t="s">
        <v>1009</v>
      </c>
      <c r="I9" s="13" t="s">
        <v>81</v>
      </c>
      <c r="J9" s="16" t="s">
        <v>11</v>
      </c>
      <c r="K9" s="15" t="n">
        <v>46295</v>
      </c>
      <c r="L9" s="13" t="s">
        <v>1043</v>
      </c>
    </row>
    <row r="10" customFormat="false" ht="23.85" hidden="false" customHeight="false" outlineLevel="0" collapsed="false">
      <c r="A10" s="13" t="s">
        <v>1044</v>
      </c>
      <c r="B10" s="13" t="s">
        <v>1045</v>
      </c>
      <c r="C10" s="13" t="s">
        <v>1046</v>
      </c>
      <c r="D10" s="13" t="s">
        <v>1013</v>
      </c>
      <c r="E10" s="13" t="s">
        <v>1029</v>
      </c>
      <c r="F10" s="14" t="s">
        <v>1030</v>
      </c>
      <c r="G10" s="15" t="n">
        <v>46295</v>
      </c>
      <c r="H10" s="13" t="s">
        <v>1009</v>
      </c>
      <c r="I10" s="13" t="s">
        <v>98</v>
      </c>
      <c r="J10" s="17" t="s">
        <v>13</v>
      </c>
      <c r="K10" s="15" t="n">
        <v>46295</v>
      </c>
      <c r="L10" s="13"/>
    </row>
    <row r="11" customFormat="false" ht="23.85" hidden="false" customHeight="false" outlineLevel="0" collapsed="false">
      <c r="A11" s="13" t="s">
        <v>1044</v>
      </c>
      <c r="B11" s="13" t="s">
        <v>546</v>
      </c>
      <c r="C11" s="13" t="s">
        <v>1047</v>
      </c>
      <c r="D11" s="13" t="s">
        <v>1048</v>
      </c>
      <c r="E11" s="13" t="s">
        <v>1029</v>
      </c>
      <c r="F11" s="14" t="s">
        <v>1030</v>
      </c>
      <c r="G11" s="15" t="n">
        <v>46295</v>
      </c>
      <c r="H11" s="13" t="s">
        <v>1009</v>
      </c>
      <c r="I11" s="13" t="s">
        <v>98</v>
      </c>
      <c r="J11" s="17" t="s">
        <v>13</v>
      </c>
      <c r="K11" s="15" t="n">
        <v>46295</v>
      </c>
      <c r="L11" s="13"/>
    </row>
    <row r="12" customFormat="false" ht="23.85" hidden="false" customHeight="false" outlineLevel="0" collapsed="false">
      <c r="A12" s="13" t="s">
        <v>1049</v>
      </c>
      <c r="B12" s="13" t="s">
        <v>1050</v>
      </c>
      <c r="C12" s="13" t="s">
        <v>1051</v>
      </c>
      <c r="D12" s="13" t="s">
        <v>1052</v>
      </c>
      <c r="E12" s="13" t="s">
        <v>309</v>
      </c>
      <c r="F12" s="14" t="s">
        <v>310</v>
      </c>
      <c r="G12" s="15" t="n">
        <v>46295</v>
      </c>
      <c r="H12" s="13" t="s">
        <v>80</v>
      </c>
      <c r="I12" s="13" t="s">
        <v>81</v>
      </c>
      <c r="J12" s="16" t="s">
        <v>11</v>
      </c>
      <c r="K12" s="15" t="n">
        <v>46295</v>
      </c>
      <c r="L12" s="13" t="s">
        <v>1053</v>
      </c>
    </row>
    <row r="13" customFormat="false" ht="23.85" hidden="false" customHeight="false" outlineLevel="0" collapsed="false">
      <c r="A13" s="13" t="s">
        <v>1049</v>
      </c>
      <c r="B13" s="13" t="s">
        <v>1054</v>
      </c>
      <c r="C13" s="13" t="s">
        <v>1055</v>
      </c>
      <c r="D13" s="13" t="s">
        <v>1052</v>
      </c>
      <c r="E13" s="13" t="s">
        <v>1056</v>
      </c>
      <c r="F13" s="14" t="s">
        <v>1057</v>
      </c>
      <c r="G13" s="15" t="n">
        <v>46295</v>
      </c>
      <c r="H13" s="13" t="s">
        <v>80</v>
      </c>
      <c r="I13" s="13" t="s">
        <v>98</v>
      </c>
      <c r="J13" s="17" t="s">
        <v>13</v>
      </c>
      <c r="K13" s="15" t="n">
        <v>46295</v>
      </c>
      <c r="L13" s="13"/>
    </row>
    <row r="14" customFormat="false" ht="23.85" hidden="false" customHeight="false" outlineLevel="0" collapsed="false">
      <c r="A14" s="13" t="s">
        <v>1049</v>
      </c>
      <c r="B14" s="13" t="s">
        <v>1058</v>
      </c>
      <c r="C14" s="13" t="s">
        <v>1059</v>
      </c>
      <c r="D14" s="13" t="s">
        <v>1060</v>
      </c>
      <c r="E14" s="13" t="s">
        <v>309</v>
      </c>
      <c r="F14" s="14" t="s">
        <v>310</v>
      </c>
      <c r="G14" s="15" t="n">
        <v>46295</v>
      </c>
      <c r="H14" s="13" t="s">
        <v>80</v>
      </c>
      <c r="I14" s="13" t="s">
        <v>81</v>
      </c>
      <c r="J14" s="16" t="s">
        <v>11</v>
      </c>
      <c r="K14" s="15" t="n">
        <v>46295</v>
      </c>
      <c r="L14" s="13"/>
    </row>
    <row r="15" customFormat="false" ht="23.85" hidden="false" customHeight="false" outlineLevel="0" collapsed="false">
      <c r="A15" s="13" t="s">
        <v>1049</v>
      </c>
      <c r="B15" s="13" t="s">
        <v>1061</v>
      </c>
      <c r="C15" s="13" t="s">
        <v>1062</v>
      </c>
      <c r="D15" s="13" t="s">
        <v>847</v>
      </c>
      <c r="E15" s="13" t="s">
        <v>309</v>
      </c>
      <c r="F15" s="14" t="s">
        <v>310</v>
      </c>
      <c r="G15" s="15" t="n">
        <v>46295</v>
      </c>
      <c r="H15" s="13" t="s">
        <v>80</v>
      </c>
      <c r="I15" s="13" t="s">
        <v>81</v>
      </c>
      <c r="J15" s="16" t="s">
        <v>11</v>
      </c>
      <c r="K15" s="15" t="n">
        <v>46295</v>
      </c>
      <c r="L15" s="13"/>
    </row>
    <row r="16" customFormat="false" ht="23.85" hidden="false" customHeight="false" outlineLevel="0" collapsed="false">
      <c r="A16" s="13" t="s">
        <v>1063</v>
      </c>
      <c r="B16" s="13" t="s">
        <v>1064</v>
      </c>
      <c r="C16" s="13" t="s">
        <v>1065</v>
      </c>
      <c r="D16" s="13" t="s">
        <v>1066</v>
      </c>
      <c r="E16" s="13" t="s">
        <v>1056</v>
      </c>
      <c r="F16" s="14" t="s">
        <v>1057</v>
      </c>
      <c r="G16" s="15" t="n">
        <v>46295</v>
      </c>
      <c r="H16" s="13" t="s">
        <v>80</v>
      </c>
      <c r="I16" s="13" t="s">
        <v>98</v>
      </c>
      <c r="J16" s="17" t="s">
        <v>13</v>
      </c>
      <c r="K16" s="15" t="n">
        <v>46295</v>
      </c>
      <c r="L16" s="13" t="s">
        <v>1067</v>
      </c>
    </row>
    <row r="17" customFormat="false" ht="23.85" hidden="false" customHeight="false" outlineLevel="0" collapsed="false">
      <c r="A17" s="13" t="s">
        <v>1049</v>
      </c>
      <c r="B17" s="13" t="s">
        <v>1068</v>
      </c>
      <c r="C17" s="13" t="s">
        <v>1069</v>
      </c>
      <c r="D17" s="13" t="s">
        <v>1023</v>
      </c>
      <c r="E17" s="13" t="s">
        <v>1070</v>
      </c>
      <c r="F17" s="14" t="s">
        <v>1071</v>
      </c>
      <c r="G17" s="15" t="n">
        <v>46295</v>
      </c>
      <c r="H17" s="13" t="s">
        <v>80</v>
      </c>
      <c r="I17" s="13" t="s">
        <v>1024</v>
      </c>
      <c r="J17" s="17" t="s">
        <v>13</v>
      </c>
      <c r="K17" s="15" t="n">
        <v>46295</v>
      </c>
      <c r="L17" s="13" t="s">
        <v>1072</v>
      </c>
    </row>
    <row r="18" customFormat="false" ht="23.85" hidden="false" customHeight="false" outlineLevel="0" collapsed="false">
      <c r="A18" s="13" t="s">
        <v>1073</v>
      </c>
      <c r="B18" s="13" t="s">
        <v>1074</v>
      </c>
      <c r="C18" s="13" t="s">
        <v>1075</v>
      </c>
      <c r="D18" s="13" t="s">
        <v>1076</v>
      </c>
      <c r="E18" s="13" t="s">
        <v>1070</v>
      </c>
      <c r="F18" s="14" t="s">
        <v>1071</v>
      </c>
      <c r="G18" s="15" t="n">
        <v>46295</v>
      </c>
      <c r="H18" s="13" t="s">
        <v>80</v>
      </c>
      <c r="I18" s="13" t="s">
        <v>1024</v>
      </c>
      <c r="J18" s="17" t="s">
        <v>13</v>
      </c>
      <c r="K18" s="15" t="n">
        <v>46295</v>
      </c>
      <c r="L18" s="13" t="s">
        <v>1077</v>
      </c>
    </row>
    <row r="19" customFormat="false" ht="23.85" hidden="false" customHeight="false" outlineLevel="0" collapsed="false">
      <c r="A19" s="13" t="s">
        <v>285</v>
      </c>
      <c r="B19" s="13" t="s">
        <v>1078</v>
      </c>
      <c r="C19" s="13" t="s">
        <v>1079</v>
      </c>
      <c r="D19" s="13" t="s">
        <v>847</v>
      </c>
      <c r="E19" s="13" t="s">
        <v>1056</v>
      </c>
      <c r="F19" s="14" t="s">
        <v>1057</v>
      </c>
      <c r="G19" s="15" t="n">
        <v>46295</v>
      </c>
      <c r="H19" s="13" t="s">
        <v>1009</v>
      </c>
      <c r="I19" s="13" t="s">
        <v>98</v>
      </c>
      <c r="J19" s="17" t="s">
        <v>13</v>
      </c>
      <c r="K19" s="15" t="n">
        <v>46295</v>
      </c>
      <c r="L19" s="13" t="s">
        <v>1080</v>
      </c>
    </row>
    <row r="20" customFormat="false" ht="23.85" hidden="false" customHeight="false" outlineLevel="0" collapsed="false">
      <c r="A20" s="13" t="s">
        <v>1081</v>
      </c>
      <c r="B20" s="13" t="s">
        <v>1082</v>
      </c>
      <c r="C20" s="13" t="s">
        <v>1083</v>
      </c>
      <c r="D20" s="13" t="s">
        <v>1023</v>
      </c>
      <c r="E20" s="13" t="s">
        <v>1084</v>
      </c>
      <c r="F20" s="14" t="s">
        <v>1085</v>
      </c>
      <c r="G20" s="15" t="n">
        <v>46295</v>
      </c>
      <c r="H20" s="13" t="s">
        <v>1009</v>
      </c>
      <c r="I20" s="13" t="s">
        <v>1024</v>
      </c>
      <c r="J20" s="17" t="s">
        <v>13</v>
      </c>
      <c r="K20" s="15" t="n">
        <v>46295</v>
      </c>
      <c r="L20" s="13" t="s">
        <v>1086</v>
      </c>
    </row>
    <row r="21" customFormat="false" ht="23.85" hidden="false" customHeight="false" outlineLevel="0" collapsed="false">
      <c r="A21" s="13" t="s">
        <v>1081</v>
      </c>
      <c r="B21" s="13" t="s">
        <v>1087</v>
      </c>
      <c r="C21" s="13" t="s">
        <v>1088</v>
      </c>
      <c r="D21" s="13" t="s">
        <v>1023</v>
      </c>
      <c r="E21" s="13" t="s">
        <v>1089</v>
      </c>
      <c r="F21" s="14" t="s">
        <v>1090</v>
      </c>
      <c r="G21" s="15" t="n">
        <v>46295</v>
      </c>
      <c r="H21" s="13" t="s">
        <v>1009</v>
      </c>
      <c r="I21" s="13" t="s">
        <v>1024</v>
      </c>
      <c r="J21" s="18" t="s">
        <v>15</v>
      </c>
      <c r="K21" s="15" t="n">
        <v>46295</v>
      </c>
      <c r="L21" s="13" t="s">
        <v>1091</v>
      </c>
    </row>
    <row r="22" customFormat="false" ht="23.85" hidden="false" customHeight="false" outlineLevel="0" collapsed="false">
      <c r="A22" s="13" t="s">
        <v>1081</v>
      </c>
      <c r="B22" s="13" t="s">
        <v>1092</v>
      </c>
      <c r="C22" s="13" t="s">
        <v>1093</v>
      </c>
      <c r="D22" s="13" t="s">
        <v>1094</v>
      </c>
      <c r="E22" s="13" t="s">
        <v>1095</v>
      </c>
      <c r="F22" s="14" t="s">
        <v>1096</v>
      </c>
      <c r="G22" s="15" t="n">
        <v>46295</v>
      </c>
      <c r="H22" s="13" t="s">
        <v>1009</v>
      </c>
      <c r="I22" s="13" t="s">
        <v>98</v>
      </c>
      <c r="J22" s="17" t="s">
        <v>13</v>
      </c>
      <c r="K22" s="15" t="n">
        <v>46295</v>
      </c>
      <c r="L22" s="13" t="s">
        <v>1097</v>
      </c>
    </row>
    <row r="23" customFormat="false" ht="23.85" hidden="false" customHeight="false" outlineLevel="0" collapsed="false">
      <c r="A23" s="13" t="s">
        <v>1081</v>
      </c>
      <c r="B23" s="13" t="s">
        <v>1098</v>
      </c>
      <c r="C23" s="13" t="s">
        <v>1099</v>
      </c>
      <c r="D23" s="13" t="s">
        <v>1013</v>
      </c>
      <c r="E23" s="13" t="s">
        <v>1100</v>
      </c>
      <c r="F23" s="14" t="s">
        <v>1101</v>
      </c>
      <c r="G23" s="15" t="n">
        <v>46295</v>
      </c>
      <c r="H23" s="13" t="s">
        <v>1009</v>
      </c>
      <c r="I23" s="13" t="s">
        <v>98</v>
      </c>
      <c r="J23" s="17" t="s">
        <v>13</v>
      </c>
      <c r="K23" s="15" t="n">
        <v>46295</v>
      </c>
      <c r="L23" s="13"/>
    </row>
    <row r="24" customFormat="false" ht="23.85" hidden="false" customHeight="false" outlineLevel="0" collapsed="false">
      <c r="A24" s="13" t="s">
        <v>1081</v>
      </c>
      <c r="B24" s="13" t="s">
        <v>1102</v>
      </c>
      <c r="C24" s="13" t="s">
        <v>1103</v>
      </c>
      <c r="D24" s="13" t="s">
        <v>1023</v>
      </c>
      <c r="E24" s="13" t="s">
        <v>1089</v>
      </c>
      <c r="F24" s="14" t="s">
        <v>1090</v>
      </c>
      <c r="G24" s="15" t="n">
        <v>46295</v>
      </c>
      <c r="H24" s="13" t="s">
        <v>1009</v>
      </c>
      <c r="I24" s="13" t="s">
        <v>1024</v>
      </c>
      <c r="J24" s="17" t="s">
        <v>13</v>
      </c>
      <c r="K24" s="15" t="n">
        <v>46295</v>
      </c>
      <c r="L24" s="13" t="s">
        <v>1104</v>
      </c>
    </row>
  </sheetData>
  <autoFilter ref="A1:L24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content.naic.org/sites/default/files/consumer-auto-shopping-tool.pdf"/>
    <hyperlink ref="F3" r:id="rId2" display="https://thelendersnetwork.com/flood-insurance-mortgage-requirements/"/>
    <hyperlink ref="F4" r:id="rId3" display="https://thelendersnetwork.com/flood-insurance-mortgage-requirements/"/>
    <hyperlink ref="F5" r:id="rId4" display="https://thelendersnetwork.com/flood-insurance-mortgage-requirements/"/>
    <hyperlink ref="F6" r:id="rId5" display="https://thelendersnetwork.com/flood-insurance-mortgage-requirements/"/>
    <hyperlink ref="F7" r:id="rId6" display="https://walletgrower.com/insurance/homeowners-insurance/flood-insurance"/>
    <hyperlink ref="F8" r:id="rId7" display="https://atesariskadvisors.com/blog/florida-private-flood-insurance-vs-nfip-2026"/>
    <hyperlink ref="F9" r:id="rId8" display="https://www.congress.gov/crs-product/R49353"/>
    <hyperlink ref="F10" r:id="rId9" display="https://walletgrower.com/insurance/homeowners-insurance/flood-insurance"/>
    <hyperlink ref="F11" r:id="rId10" display="https://walletgrower.com/insurance/homeowners-insurance/flood-insurance"/>
    <hyperlink ref="F12" r:id="rId11" display="https://www.earthquakeauthority.com/california-earthquake-insurance-policies/homeowners"/>
    <hyperlink ref="F13" r:id="rId12" display="https://expressfinancial.net/p/earthquake-insurance-california"/>
    <hyperlink ref="F14" r:id="rId13" display="https://www.earthquakeauthority.com/california-earthquake-insurance-policies/homeowners"/>
    <hyperlink ref="F15" r:id="rId14" display="https://www.earthquakeauthority.com/california-earthquake-insurance-policies/homeowners"/>
    <hyperlink ref="F16" r:id="rId15" display="https://expressfinancial.net/p/earthquake-insurance-california"/>
    <hyperlink ref="F17" r:id="rId16" display="https://www.earthquakenearme.com/en/blog/earthquake-insurance-california"/>
    <hyperlink ref="F18" r:id="rId17" display="https://www.earthquakenearme.com/en/blog/earthquake-insurance-california"/>
    <hyperlink ref="F19" r:id="rId18" display="https://expressfinancial.net/p/earthquake-insurance-california"/>
    <hyperlink ref="F20" r:id="rId19" display="https://www.nerdwallet.com/insurance/homeowners/learn/umbrella-insurance"/>
    <hyperlink ref="F21" r:id="rId20" display="https://www.realcostreport.com/insurance/home-insurance/umbrella-insurance-cost/"/>
    <hyperlink ref="F22" r:id="rId21" display="https://usecalcpro.com/finance/umbrella-insurance-quote-calculator"/>
    <hyperlink ref="F23" r:id="rId22" display="https://www.kiplinger.com/personal-finance/insurance/umbrella-insurance/603237/how-much-umbrella-insurance-do-i-need"/>
    <hyperlink ref="F24" r:id="rId23" display="https://www.realcostreport.com/insurance/home-insurance/umbrella-insurance-cos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34"/>
    <col collapsed="false" customWidth="true" hidden="false" outlineLevel="0" max="7" min="7" style="0" width="42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24"/>
    <col collapsed="false" customWidth="true" hidden="false" outlineLevel="0" max="11" min="11" style="0" width="20"/>
    <col collapsed="false" customWidth="true" hidden="false" outlineLevel="0" max="12" min="12" style="0" width="12"/>
    <col collapsed="false" customWidth="true" hidden="false" outlineLevel="0" max="13" min="13" style="0" width="50"/>
  </cols>
  <sheetData>
    <row r="1" customFormat="false" ht="31.5" hidden="false" customHeight="true" outlineLevel="0" collapsed="false">
      <c r="A1" s="12" t="s">
        <v>1105</v>
      </c>
      <c r="B1" s="12" t="s">
        <v>1106</v>
      </c>
      <c r="C1" s="12" t="s">
        <v>1107</v>
      </c>
      <c r="D1" s="12" t="s">
        <v>1108</v>
      </c>
      <c r="E1" s="12" t="s">
        <v>1109</v>
      </c>
      <c r="F1" s="12" t="s">
        <v>66</v>
      </c>
      <c r="G1" s="12" t="s">
        <v>67</v>
      </c>
      <c r="H1" s="12" t="s">
        <v>68</v>
      </c>
      <c r="I1" s="12" t="s">
        <v>69</v>
      </c>
      <c r="J1" s="12" t="s">
        <v>70</v>
      </c>
      <c r="K1" s="12" t="s">
        <v>71</v>
      </c>
      <c r="L1" s="12" t="s">
        <v>72</v>
      </c>
      <c r="M1" s="12" t="s">
        <v>73</v>
      </c>
    </row>
    <row r="2" customFormat="false" ht="23.85" hidden="false" customHeight="false" outlineLevel="0" collapsed="false">
      <c r="A2" s="13" t="s">
        <v>1110</v>
      </c>
      <c r="B2" s="13" t="s">
        <v>1111</v>
      </c>
      <c r="C2" s="20" t="n">
        <v>1820</v>
      </c>
      <c r="D2" s="13" t="s">
        <v>1112</v>
      </c>
      <c r="E2" s="13" t="s">
        <v>1113</v>
      </c>
      <c r="F2" s="13" t="s">
        <v>1114</v>
      </c>
      <c r="G2" s="14" t="s">
        <v>1115</v>
      </c>
      <c r="H2" s="15" t="n">
        <v>46295</v>
      </c>
      <c r="I2" s="13" t="s">
        <v>1009</v>
      </c>
      <c r="J2" s="13" t="s">
        <v>1024</v>
      </c>
      <c r="K2" s="17" t="s">
        <v>13</v>
      </c>
      <c r="L2" s="15" t="n">
        <v>46295</v>
      </c>
      <c r="M2" s="13" t="s">
        <v>1116</v>
      </c>
    </row>
    <row r="3" customFormat="false" ht="15" hidden="false" customHeight="false" outlineLevel="0" collapsed="false">
      <c r="A3" s="13" t="s">
        <v>1110</v>
      </c>
      <c r="B3" s="13" t="s">
        <v>1111</v>
      </c>
      <c r="C3" s="20" t="n">
        <v>2237</v>
      </c>
      <c r="D3" s="13" t="s">
        <v>1112</v>
      </c>
      <c r="E3" s="13" t="s">
        <v>1117</v>
      </c>
      <c r="F3" s="13" t="s">
        <v>1118</v>
      </c>
      <c r="G3" s="14" t="s">
        <v>1119</v>
      </c>
      <c r="H3" s="15" t="n">
        <v>46295</v>
      </c>
      <c r="I3" s="13" t="s">
        <v>1009</v>
      </c>
      <c r="J3" s="13" t="s">
        <v>1024</v>
      </c>
      <c r="K3" s="17" t="s">
        <v>13</v>
      </c>
      <c r="L3" s="15" t="n">
        <v>46295</v>
      </c>
      <c r="M3" s="13" t="s">
        <v>1120</v>
      </c>
    </row>
    <row r="4" customFormat="false" ht="23.85" hidden="false" customHeight="false" outlineLevel="0" collapsed="false">
      <c r="A4" s="13" t="s">
        <v>1110</v>
      </c>
      <c r="B4" s="13" t="s">
        <v>1111</v>
      </c>
      <c r="C4" s="20" t="n">
        <v>2496</v>
      </c>
      <c r="D4" s="13" t="s">
        <v>1112</v>
      </c>
      <c r="E4" s="13" t="s">
        <v>1121</v>
      </c>
      <c r="F4" s="13" t="s">
        <v>1122</v>
      </c>
      <c r="G4" s="14" t="s">
        <v>1123</v>
      </c>
      <c r="H4" s="15" t="n">
        <v>46295</v>
      </c>
      <c r="I4" s="13" t="s">
        <v>1009</v>
      </c>
      <c r="J4" s="13" t="s">
        <v>1024</v>
      </c>
      <c r="K4" s="17" t="s">
        <v>13</v>
      </c>
      <c r="L4" s="15" t="n">
        <v>46295</v>
      </c>
      <c r="M4" s="13" t="s">
        <v>1124</v>
      </c>
    </row>
    <row r="5" customFormat="false" ht="15" hidden="false" customHeight="false" outlineLevel="0" collapsed="false">
      <c r="A5" s="13" t="s">
        <v>1110</v>
      </c>
      <c r="B5" s="13" t="s">
        <v>1111</v>
      </c>
      <c r="C5" s="20" t="n">
        <v>2670</v>
      </c>
      <c r="D5" s="13" t="s">
        <v>1112</v>
      </c>
      <c r="E5" s="13" t="s">
        <v>1125</v>
      </c>
      <c r="F5" s="13" t="s">
        <v>1126</v>
      </c>
      <c r="G5" s="14" t="s">
        <v>1127</v>
      </c>
      <c r="H5" s="15" t="n">
        <v>46295</v>
      </c>
      <c r="I5" s="13" t="s">
        <v>1009</v>
      </c>
      <c r="J5" s="13" t="s">
        <v>1024</v>
      </c>
      <c r="K5" s="17" t="s">
        <v>13</v>
      </c>
      <c r="L5" s="15" t="n">
        <v>46295</v>
      </c>
      <c r="M5" s="13" t="s">
        <v>1128</v>
      </c>
    </row>
    <row r="6" customFormat="false" ht="15" hidden="false" customHeight="false" outlineLevel="0" collapsed="false">
      <c r="A6" s="13" t="s">
        <v>1110</v>
      </c>
      <c r="B6" s="13" t="s">
        <v>1111</v>
      </c>
      <c r="C6" s="20" t="n">
        <v>2922</v>
      </c>
      <c r="D6" s="13" t="s">
        <v>1112</v>
      </c>
      <c r="E6" s="13" t="s">
        <v>1129</v>
      </c>
      <c r="F6" s="13" t="s">
        <v>1130</v>
      </c>
      <c r="G6" s="14" t="s">
        <v>1131</v>
      </c>
      <c r="H6" s="15" t="n">
        <v>46295</v>
      </c>
      <c r="I6" s="13" t="s">
        <v>1009</v>
      </c>
      <c r="J6" s="13" t="s">
        <v>1024</v>
      </c>
      <c r="K6" s="17" t="s">
        <v>13</v>
      </c>
      <c r="L6" s="15" t="n">
        <v>46295</v>
      </c>
      <c r="M6" s="13"/>
    </row>
    <row r="7" customFormat="false" ht="15" hidden="false" customHeight="false" outlineLevel="0" collapsed="false">
      <c r="A7" s="13" t="s">
        <v>1110</v>
      </c>
      <c r="B7" s="13" t="s">
        <v>1111</v>
      </c>
      <c r="C7" s="20" t="n">
        <v>773</v>
      </c>
      <c r="D7" s="13" t="s">
        <v>1132</v>
      </c>
      <c r="E7" s="13" t="s">
        <v>1133</v>
      </c>
      <c r="F7" s="13" t="s">
        <v>1126</v>
      </c>
      <c r="G7" s="14" t="s">
        <v>1127</v>
      </c>
      <c r="H7" s="15" t="n">
        <v>46295</v>
      </c>
      <c r="I7" s="13" t="s">
        <v>1009</v>
      </c>
      <c r="J7" s="13" t="s">
        <v>1024</v>
      </c>
      <c r="K7" s="17" t="s">
        <v>13</v>
      </c>
      <c r="L7" s="15" t="n">
        <v>46295</v>
      </c>
      <c r="M7" s="13"/>
    </row>
    <row r="8" customFormat="false" ht="23.85" hidden="false" customHeight="false" outlineLevel="0" collapsed="false">
      <c r="A8" s="13" t="s">
        <v>1110</v>
      </c>
      <c r="B8" s="13" t="s">
        <v>1111</v>
      </c>
      <c r="C8" s="20" t="n">
        <v>912</v>
      </c>
      <c r="D8" s="13" t="s">
        <v>1132</v>
      </c>
      <c r="E8" s="13" t="s">
        <v>1134</v>
      </c>
      <c r="F8" s="13" t="s">
        <v>1135</v>
      </c>
      <c r="G8" s="14" t="s">
        <v>1136</v>
      </c>
      <c r="H8" s="15" t="n">
        <v>46295</v>
      </c>
      <c r="I8" s="13" t="s">
        <v>1009</v>
      </c>
      <c r="J8" s="13" t="s">
        <v>1024</v>
      </c>
      <c r="K8" s="17" t="s">
        <v>13</v>
      </c>
      <c r="L8" s="15" t="n">
        <v>46295</v>
      </c>
      <c r="M8" s="13"/>
    </row>
    <row r="9" customFormat="false" ht="15" hidden="false" customHeight="false" outlineLevel="0" collapsed="false">
      <c r="A9" s="13" t="s">
        <v>1110</v>
      </c>
      <c r="B9" s="13" t="s">
        <v>1111</v>
      </c>
      <c r="C9" s="20" t="n">
        <v>1580</v>
      </c>
      <c r="D9" s="13" t="s">
        <v>1132</v>
      </c>
      <c r="E9" s="13" t="s">
        <v>1137</v>
      </c>
      <c r="F9" s="13" t="s">
        <v>1130</v>
      </c>
      <c r="G9" s="14" t="s">
        <v>1131</v>
      </c>
      <c r="H9" s="15" t="n">
        <v>46295</v>
      </c>
      <c r="I9" s="13" t="s">
        <v>1009</v>
      </c>
      <c r="J9" s="13" t="s">
        <v>1024</v>
      </c>
      <c r="K9" s="17" t="s">
        <v>13</v>
      </c>
      <c r="L9" s="15" t="n">
        <v>46295</v>
      </c>
      <c r="M9" s="13"/>
    </row>
    <row r="10" customFormat="false" ht="15" hidden="false" customHeight="false" outlineLevel="0" collapsed="false">
      <c r="A10" s="13" t="s">
        <v>1110</v>
      </c>
      <c r="B10" s="13" t="s">
        <v>1111</v>
      </c>
      <c r="C10" s="20" t="n">
        <v>2262</v>
      </c>
      <c r="D10" s="13" t="s">
        <v>1138</v>
      </c>
      <c r="E10" s="13" t="s">
        <v>1139</v>
      </c>
      <c r="F10" s="13" t="s">
        <v>1130</v>
      </c>
      <c r="G10" s="14" t="s">
        <v>1131</v>
      </c>
      <c r="H10" s="15" t="n">
        <v>46295</v>
      </c>
      <c r="I10" s="13" t="s">
        <v>1009</v>
      </c>
      <c r="J10" s="13" t="s">
        <v>1024</v>
      </c>
      <c r="K10" s="17" t="s">
        <v>13</v>
      </c>
      <c r="L10" s="15" t="n">
        <v>46295</v>
      </c>
      <c r="M10" s="13" t="s">
        <v>1140</v>
      </c>
    </row>
    <row r="11" customFormat="false" ht="23.85" hidden="false" customHeight="false" outlineLevel="0" collapsed="false">
      <c r="A11" s="13" t="s">
        <v>1110</v>
      </c>
      <c r="B11" s="13" t="s">
        <v>1111</v>
      </c>
      <c r="C11" s="20" t="n">
        <v>2510</v>
      </c>
      <c r="D11" s="13" t="s">
        <v>1141</v>
      </c>
      <c r="E11" s="13" t="s">
        <v>1142</v>
      </c>
      <c r="F11" s="13" t="s">
        <v>1143</v>
      </c>
      <c r="G11" s="14" t="s">
        <v>1144</v>
      </c>
      <c r="H11" s="15" t="n">
        <v>46295</v>
      </c>
      <c r="I11" s="13" t="s">
        <v>1009</v>
      </c>
      <c r="J11" s="13" t="s">
        <v>1024</v>
      </c>
      <c r="K11" s="17" t="s">
        <v>13</v>
      </c>
      <c r="L11" s="15" t="n">
        <v>46295</v>
      </c>
      <c r="M11" s="13" t="s">
        <v>1145</v>
      </c>
    </row>
    <row r="12" customFormat="false" ht="23.85" hidden="false" customHeight="false" outlineLevel="0" collapsed="false">
      <c r="A12" s="13" t="s">
        <v>1146</v>
      </c>
      <c r="B12" s="13" t="s">
        <v>1111</v>
      </c>
      <c r="C12" s="20" t="n">
        <v>2490</v>
      </c>
      <c r="D12" s="13" t="s">
        <v>1147</v>
      </c>
      <c r="E12" s="13" t="s">
        <v>1148</v>
      </c>
      <c r="F12" s="13" t="s">
        <v>1149</v>
      </c>
      <c r="G12" s="14" t="s">
        <v>1150</v>
      </c>
      <c r="H12" s="15" t="n">
        <v>46295</v>
      </c>
      <c r="I12" s="13" t="s">
        <v>1009</v>
      </c>
      <c r="J12" s="13" t="s">
        <v>1024</v>
      </c>
      <c r="K12" s="17" t="s">
        <v>13</v>
      </c>
      <c r="L12" s="15" t="n">
        <v>46295</v>
      </c>
      <c r="M12" s="13"/>
    </row>
    <row r="13" customFormat="false" ht="15" hidden="false" customHeight="false" outlineLevel="0" collapsed="false">
      <c r="A13" s="13" t="s">
        <v>1146</v>
      </c>
      <c r="B13" s="13" t="s">
        <v>1111</v>
      </c>
      <c r="C13" s="20" t="n">
        <v>3012</v>
      </c>
      <c r="D13" s="13" t="s">
        <v>1147</v>
      </c>
      <c r="E13" s="13" t="s">
        <v>1151</v>
      </c>
      <c r="F13" s="13" t="s">
        <v>1152</v>
      </c>
      <c r="G13" s="14" t="s">
        <v>1153</v>
      </c>
      <c r="H13" s="15" t="n">
        <v>46295</v>
      </c>
      <c r="I13" s="13" t="s">
        <v>1009</v>
      </c>
      <c r="J13" s="13" t="s">
        <v>1024</v>
      </c>
      <c r="K13" s="17" t="s">
        <v>13</v>
      </c>
      <c r="L13" s="15" t="n">
        <v>46295</v>
      </c>
      <c r="M13" s="13" t="s">
        <v>1154</v>
      </c>
    </row>
    <row r="14" customFormat="false" ht="15" hidden="false" customHeight="false" outlineLevel="0" collapsed="false">
      <c r="A14" s="13" t="s">
        <v>1146</v>
      </c>
      <c r="B14" s="13" t="s">
        <v>1155</v>
      </c>
      <c r="C14" s="20" t="n">
        <v>8486</v>
      </c>
      <c r="D14" s="13" t="s">
        <v>1156</v>
      </c>
      <c r="E14" s="13" t="s">
        <v>1157</v>
      </c>
      <c r="F14" s="13" t="s">
        <v>1152</v>
      </c>
      <c r="G14" s="14" t="s">
        <v>1153</v>
      </c>
      <c r="H14" s="15" t="n">
        <v>46295</v>
      </c>
      <c r="I14" s="13" t="s">
        <v>423</v>
      </c>
      <c r="J14" s="13" t="s">
        <v>1024</v>
      </c>
      <c r="K14" s="17" t="s">
        <v>13</v>
      </c>
      <c r="L14" s="15" t="n">
        <v>46295</v>
      </c>
      <c r="M14" s="13"/>
    </row>
    <row r="17" customFormat="false" ht="15" hidden="false" customHeight="false" outlineLevel="0" collapsed="false">
      <c r="A17" s="2" t="s">
        <v>1158</v>
      </c>
    </row>
    <row r="18" customFormat="false" ht="15" hidden="false" customHeight="false" outlineLevel="0" collapsed="false">
      <c r="A18" s="21" t="s">
        <v>1159</v>
      </c>
      <c r="B18" s="21" t="s">
        <v>1160</v>
      </c>
      <c r="C18" s="21" t="s">
        <v>1161</v>
      </c>
      <c r="D18" s="21" t="s">
        <v>1162</v>
      </c>
    </row>
    <row r="19" customFormat="false" ht="15" hidden="false" customHeight="false" outlineLevel="0" collapsed="false">
      <c r="A19" s="10" t="s">
        <v>1112</v>
      </c>
      <c r="B19" s="22" t="n">
        <f aca="false">MIN(C2:C6)</f>
        <v>1820</v>
      </c>
      <c r="C19" s="22" t="n">
        <f aca="false">MAX(C2:C6)</f>
        <v>2922</v>
      </c>
      <c r="D19" s="23" t="n">
        <f aca="false">C19/B19-1</f>
        <v>0.605494505494506</v>
      </c>
    </row>
    <row r="20" customFormat="false" ht="15" hidden="false" customHeight="false" outlineLevel="0" collapsed="false">
      <c r="A20" s="10" t="s">
        <v>1132</v>
      </c>
      <c r="B20" s="22" t="n">
        <f aca="false">MIN(C7:C9)</f>
        <v>773</v>
      </c>
      <c r="C20" s="22" t="n">
        <f aca="false">MAX(C7:C9)</f>
        <v>1580</v>
      </c>
      <c r="D20" s="23" t="n">
        <f aca="false">C20/B20-1</f>
        <v>1.04398447606727</v>
      </c>
    </row>
    <row r="21" customFormat="false" ht="15" hidden="false" customHeight="false" outlineLevel="0" collapsed="false">
      <c r="A21" s="10" t="s">
        <v>1147</v>
      </c>
      <c r="B21" s="22" t="n">
        <f aca="false">MIN(C12:C13)</f>
        <v>2490</v>
      </c>
      <c r="C21" s="22" t="n">
        <f aca="false">MAX(C12:C13)</f>
        <v>3012</v>
      </c>
      <c r="D21" s="23" t="n">
        <f aca="false">C21/B21-1</f>
        <v>0.209638554216868</v>
      </c>
    </row>
    <row r="23" customFormat="false" ht="15" hidden="false" customHeight="false" outlineLevel="0" collapsed="false">
      <c r="A23" s="24" t="s">
        <v>1163</v>
      </c>
    </row>
  </sheetData>
  <autoFilter ref="A1:M14"/>
  <dataValidations count="1">
    <dataValidation allowBlank="true" errorStyle="stop" operator="between" showDropDown="false" showErrorMessage="false" showInputMessage="false" sqref="K2:K500" type="list">
      <formula1>"Primary source,Secondary - unverified,Conflicting,Not researched"</formula1>
      <formula2>0</formula2>
    </dataValidation>
  </dataValidations>
  <hyperlinks>
    <hyperlink ref="G2" r:id="rId1" display="https://insurtool.com/tools/average-car-insurance-cost/"/>
    <hyperlink ref="G3" r:id="rId2" display="https://insurify.com/car-insurance/report/"/>
    <hyperlink ref="G4" r:id="rId3" display="https://www.valuepenguin.com/state-of-auto-insurance-2026"/>
    <hyperlink ref="G5" r:id="rId4" display="https://cincoautoinsurance.com/auto-insurance/cost/"/>
    <hyperlink ref="G6" r:id="rId5" display="https://www.experian.com/blogs/ask-experian/average-cost-car-insurance/"/>
    <hyperlink ref="G7" r:id="rId6" display="https://cincoautoinsurance.com/auto-insurance/cost/"/>
    <hyperlink ref="G8" r:id="rId7" display="https://www.insuredbetter.com/car-insurance/compare-auto-coverage/rate-cost/"/>
    <hyperlink ref="G9" r:id="rId8" display="https://www.experian.com/blogs/ask-experian/average-cost-car-insurance/"/>
    <hyperlink ref="G10" r:id="rId9" display="https://www.experian.com/blogs/ask-experian/average-cost-car-insurance/"/>
    <hyperlink ref="G11" r:id="rId10" display="https://www.usnews.com/insurance/auto/average-cost-of-car-insurance"/>
    <hyperlink ref="G12" r:id="rId11" display="https://www.nerdwallet.com/insurance/homeowners/learn/average-homeowners-insurance-cost"/>
    <hyperlink ref="G13" r:id="rId12" display="https://insurify.com/homeowners-insurance/insights/rates-increase-first-half-2026/"/>
    <hyperlink ref="G14" r:id="rId13" display="https://insurify.com/homeowners-insurance/insights/rates-increase-first-half-2026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4" min="3" style="0" width="52"/>
    <col collapsed="false" customWidth="true" hidden="false" outlineLevel="0" max="5" min="5" style="0" width="34"/>
    <col collapsed="false" customWidth="true" hidden="false" outlineLevel="0" max="6" min="6" style="0" width="42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2" min="12" style="0" width="50"/>
  </cols>
  <sheetData>
    <row r="1" customFormat="false" ht="31.5" hidden="false" customHeight="true" outlineLevel="0" collapsed="false">
      <c r="A1" s="12" t="s">
        <v>1002</v>
      </c>
      <c r="B1" s="12" t="s">
        <v>1164</v>
      </c>
      <c r="C1" s="12" t="s">
        <v>1165</v>
      </c>
      <c r="D1" s="12" t="s">
        <v>1166</v>
      </c>
      <c r="E1" s="12" t="s">
        <v>66</v>
      </c>
      <c r="F1" s="12" t="s">
        <v>67</v>
      </c>
      <c r="G1" s="12" t="s">
        <v>68</v>
      </c>
      <c r="H1" s="12" t="s">
        <v>69</v>
      </c>
      <c r="I1" s="12" t="s">
        <v>70</v>
      </c>
      <c r="J1" s="12" t="s">
        <v>71</v>
      </c>
      <c r="K1" s="12" t="s">
        <v>72</v>
      </c>
      <c r="L1" s="12" t="s">
        <v>73</v>
      </c>
    </row>
    <row r="2" customFormat="false" ht="23.85" hidden="false" customHeight="false" outlineLevel="0" collapsed="false">
      <c r="A2" s="13" t="s">
        <v>1167</v>
      </c>
      <c r="B2" s="13" t="s">
        <v>1168</v>
      </c>
      <c r="C2" s="13" t="s">
        <v>1169</v>
      </c>
      <c r="D2" s="13" t="s">
        <v>1170</v>
      </c>
      <c r="E2" s="13" t="s">
        <v>1171</v>
      </c>
      <c r="F2" s="14" t="s">
        <v>1172</v>
      </c>
      <c r="G2" s="15" t="n">
        <v>46295</v>
      </c>
      <c r="H2" s="13" t="s">
        <v>1009</v>
      </c>
      <c r="I2" s="13" t="s">
        <v>98</v>
      </c>
      <c r="J2" s="17" t="s">
        <v>13</v>
      </c>
      <c r="K2" s="15" t="n">
        <v>46295</v>
      </c>
      <c r="L2" s="13" t="s">
        <v>1173</v>
      </c>
    </row>
    <row r="3" customFormat="false" ht="23.85" hidden="false" customHeight="false" outlineLevel="0" collapsed="false">
      <c r="A3" s="13" t="s">
        <v>1174</v>
      </c>
      <c r="B3" s="13" t="s">
        <v>674</v>
      </c>
      <c r="C3" s="13" t="s">
        <v>1175</v>
      </c>
      <c r="D3" s="13" t="s">
        <v>1176</v>
      </c>
      <c r="E3" s="13" t="s">
        <v>1177</v>
      </c>
      <c r="F3" s="14" t="s">
        <v>1178</v>
      </c>
      <c r="G3" s="15" t="n">
        <v>46295</v>
      </c>
      <c r="H3" s="13" t="s">
        <v>674</v>
      </c>
      <c r="I3" s="13" t="s">
        <v>98</v>
      </c>
      <c r="J3" s="17" t="s">
        <v>13</v>
      </c>
      <c r="K3" s="15" t="n">
        <v>46295</v>
      </c>
      <c r="L3" s="13"/>
    </row>
    <row r="4" customFormat="false" ht="23.85" hidden="false" customHeight="false" outlineLevel="0" collapsed="false">
      <c r="A4" s="13" t="s">
        <v>1179</v>
      </c>
      <c r="B4" s="13" t="s">
        <v>1009</v>
      </c>
      <c r="C4" s="13" t="s">
        <v>1180</v>
      </c>
      <c r="D4" s="13" t="s">
        <v>1181</v>
      </c>
      <c r="E4" s="13" t="s">
        <v>1182</v>
      </c>
      <c r="F4" s="14" t="s">
        <v>1183</v>
      </c>
      <c r="G4" s="15" t="n">
        <v>46295</v>
      </c>
      <c r="H4" s="13" t="s">
        <v>1009</v>
      </c>
      <c r="I4" s="13" t="s">
        <v>98</v>
      </c>
      <c r="J4" s="17" t="s">
        <v>13</v>
      </c>
      <c r="K4" s="15" t="n">
        <v>46295</v>
      </c>
      <c r="L4" s="13" t="s">
        <v>1184</v>
      </c>
    </row>
    <row r="5" customFormat="false" ht="23.85" hidden="false" customHeight="false" outlineLevel="0" collapsed="false">
      <c r="A5" s="13" t="s">
        <v>1185</v>
      </c>
      <c r="B5" s="13" t="s">
        <v>1186</v>
      </c>
      <c r="C5" s="13" t="s">
        <v>1187</v>
      </c>
      <c r="D5" s="13" t="s">
        <v>1188</v>
      </c>
      <c r="E5" s="13" t="s">
        <v>1189</v>
      </c>
      <c r="F5" s="14" t="s">
        <v>1190</v>
      </c>
      <c r="G5" s="15" t="n">
        <v>46295</v>
      </c>
      <c r="H5" s="13" t="s">
        <v>1009</v>
      </c>
      <c r="I5" s="13" t="s">
        <v>98</v>
      </c>
      <c r="J5" s="17" t="s">
        <v>13</v>
      </c>
      <c r="K5" s="15" t="n">
        <v>46295</v>
      </c>
      <c r="L5" s="13" t="s">
        <v>1191</v>
      </c>
    </row>
    <row r="6" customFormat="false" ht="23.85" hidden="false" customHeight="false" outlineLevel="0" collapsed="false">
      <c r="A6" s="13" t="s">
        <v>1192</v>
      </c>
      <c r="B6" s="13" t="s">
        <v>1186</v>
      </c>
      <c r="C6" s="13" t="s">
        <v>1193</v>
      </c>
      <c r="D6" s="13" t="s">
        <v>847</v>
      </c>
      <c r="E6" s="13" t="s">
        <v>1194</v>
      </c>
      <c r="F6" s="14" t="s">
        <v>1195</v>
      </c>
      <c r="G6" s="15" t="n">
        <v>46295</v>
      </c>
      <c r="H6" s="13" t="s">
        <v>1009</v>
      </c>
      <c r="I6" s="13" t="s">
        <v>1024</v>
      </c>
      <c r="J6" s="17" t="s">
        <v>13</v>
      </c>
      <c r="K6" s="15" t="n">
        <v>46295</v>
      </c>
      <c r="L6" s="13" t="s">
        <v>1196</v>
      </c>
    </row>
    <row r="7" customFormat="false" ht="23.85" hidden="false" customHeight="false" outlineLevel="0" collapsed="false">
      <c r="A7" s="13" t="s">
        <v>1197</v>
      </c>
      <c r="B7" s="13" t="s">
        <v>1186</v>
      </c>
      <c r="C7" s="13" t="s">
        <v>1198</v>
      </c>
      <c r="D7" s="13" t="s">
        <v>1199</v>
      </c>
      <c r="E7" s="13" t="s">
        <v>1200</v>
      </c>
      <c r="F7" s="14" t="s">
        <v>1201</v>
      </c>
      <c r="G7" s="15" t="n">
        <v>46295</v>
      </c>
      <c r="H7" s="13" t="s">
        <v>1009</v>
      </c>
      <c r="I7" s="13" t="s">
        <v>81</v>
      </c>
      <c r="J7" s="16" t="s">
        <v>11</v>
      </c>
      <c r="K7" s="15" t="n">
        <v>46295</v>
      </c>
      <c r="L7" s="13" t="s">
        <v>1202</v>
      </c>
    </row>
    <row r="8" customFormat="false" ht="46.25" hidden="false" customHeight="false" outlineLevel="0" collapsed="false">
      <c r="A8" s="13" t="s">
        <v>1203</v>
      </c>
      <c r="B8" s="13" t="s">
        <v>80</v>
      </c>
      <c r="C8" s="13" t="s">
        <v>1204</v>
      </c>
      <c r="D8" s="13" t="s">
        <v>1205</v>
      </c>
      <c r="E8" s="13" t="s">
        <v>357</v>
      </c>
      <c r="F8" s="14" t="s">
        <v>358</v>
      </c>
      <c r="G8" s="15" t="n">
        <v>46295</v>
      </c>
      <c r="H8" s="13" t="s">
        <v>80</v>
      </c>
      <c r="I8" s="13" t="s">
        <v>81</v>
      </c>
      <c r="J8" s="17" t="s">
        <v>13</v>
      </c>
      <c r="K8" s="15" t="n">
        <v>46295</v>
      </c>
      <c r="L8" s="13" t="s">
        <v>1206</v>
      </c>
    </row>
    <row r="9" customFormat="false" ht="23.85" hidden="false" customHeight="false" outlineLevel="0" collapsed="false">
      <c r="A9" s="13" t="s">
        <v>1207</v>
      </c>
      <c r="B9" s="13" t="s">
        <v>80</v>
      </c>
      <c r="C9" s="13" t="s">
        <v>1208</v>
      </c>
      <c r="D9" s="13" t="s">
        <v>1209</v>
      </c>
      <c r="E9" s="13" t="s">
        <v>276</v>
      </c>
      <c r="F9" s="14" t="s">
        <v>277</v>
      </c>
      <c r="G9" s="15" t="n">
        <v>46295</v>
      </c>
      <c r="H9" s="13" t="s">
        <v>80</v>
      </c>
      <c r="I9" s="13" t="s">
        <v>81</v>
      </c>
      <c r="J9" s="16" t="s">
        <v>11</v>
      </c>
      <c r="K9" s="15" t="n">
        <v>46295</v>
      </c>
      <c r="L9" s="13" t="s">
        <v>1210</v>
      </c>
    </row>
    <row r="10" customFormat="false" ht="35.05" hidden="false" customHeight="false" outlineLevel="0" collapsed="false">
      <c r="A10" s="13" t="s">
        <v>1211</v>
      </c>
      <c r="B10" s="13" t="s">
        <v>423</v>
      </c>
      <c r="C10" s="13" t="s">
        <v>1212</v>
      </c>
      <c r="D10" s="13" t="s">
        <v>1213</v>
      </c>
      <c r="E10" s="13" t="s">
        <v>443</v>
      </c>
      <c r="F10" s="14" t="s">
        <v>444</v>
      </c>
      <c r="G10" s="15" t="n">
        <v>46295</v>
      </c>
      <c r="H10" s="13" t="s">
        <v>423</v>
      </c>
      <c r="I10" s="13" t="s">
        <v>98</v>
      </c>
      <c r="J10" s="17" t="s">
        <v>13</v>
      </c>
      <c r="K10" s="15" t="n">
        <v>46295</v>
      </c>
      <c r="L10" s="13" t="s">
        <v>1214</v>
      </c>
    </row>
    <row r="11" customFormat="false" ht="23.85" hidden="false" customHeight="false" outlineLevel="0" collapsed="false">
      <c r="A11" s="13" t="s">
        <v>1215</v>
      </c>
      <c r="B11" s="13" t="s">
        <v>374</v>
      </c>
      <c r="C11" s="13" t="s">
        <v>1216</v>
      </c>
      <c r="D11" s="13" t="s">
        <v>1217</v>
      </c>
      <c r="E11" s="13" t="s">
        <v>372</v>
      </c>
      <c r="F11" s="14" t="s">
        <v>373</v>
      </c>
      <c r="G11" s="15" t="n">
        <v>46295</v>
      </c>
      <c r="H11" s="13" t="s">
        <v>374</v>
      </c>
      <c r="I11" s="13" t="s">
        <v>81</v>
      </c>
      <c r="J11" s="16" t="s">
        <v>11</v>
      </c>
      <c r="K11" s="15" t="n">
        <v>46295</v>
      </c>
      <c r="L11" s="13" t="s">
        <v>1218</v>
      </c>
    </row>
    <row r="12" customFormat="false" ht="23.85" hidden="false" customHeight="false" outlineLevel="0" collapsed="false">
      <c r="A12" s="13" t="s">
        <v>1219</v>
      </c>
      <c r="B12" s="13" t="s">
        <v>423</v>
      </c>
      <c r="C12" s="13" t="s">
        <v>1220</v>
      </c>
      <c r="D12" s="13" t="s">
        <v>1221</v>
      </c>
      <c r="E12" s="13" t="s">
        <v>633</v>
      </c>
      <c r="F12" s="14" t="s">
        <v>634</v>
      </c>
      <c r="G12" s="15" t="n">
        <v>46295</v>
      </c>
      <c r="H12" s="13" t="s">
        <v>423</v>
      </c>
      <c r="I12" s="13" t="s">
        <v>98</v>
      </c>
      <c r="J12" s="17" t="s">
        <v>13</v>
      </c>
      <c r="K12" s="15" t="n">
        <v>46295</v>
      </c>
      <c r="L12" s="13" t="s">
        <v>1222</v>
      </c>
    </row>
    <row r="13" customFormat="false" ht="23.85" hidden="false" customHeight="false" outlineLevel="0" collapsed="false">
      <c r="A13" s="13" t="s">
        <v>1223</v>
      </c>
      <c r="B13" s="13" t="s">
        <v>1224</v>
      </c>
      <c r="C13" s="13" t="s">
        <v>1225</v>
      </c>
      <c r="D13" s="13" t="s">
        <v>1226</v>
      </c>
      <c r="E13" s="13" t="s">
        <v>1227</v>
      </c>
      <c r="F13" s="14" t="s">
        <v>1228</v>
      </c>
      <c r="G13" s="15" t="n">
        <v>46295</v>
      </c>
      <c r="H13" s="13" t="s">
        <v>915</v>
      </c>
      <c r="I13" s="13" t="s">
        <v>98</v>
      </c>
      <c r="J13" s="17" t="s">
        <v>13</v>
      </c>
      <c r="K13" s="15" t="n">
        <v>46295</v>
      </c>
      <c r="L13" s="13" t="s">
        <v>1229</v>
      </c>
    </row>
    <row r="14" customFormat="false" ht="23.85" hidden="false" customHeight="false" outlineLevel="0" collapsed="false">
      <c r="A14" s="13" t="s">
        <v>1230</v>
      </c>
      <c r="B14" s="13" t="s">
        <v>1231</v>
      </c>
      <c r="C14" s="13" t="s">
        <v>1232</v>
      </c>
      <c r="D14" s="13" t="s">
        <v>1233</v>
      </c>
      <c r="E14" s="13" t="s">
        <v>96</v>
      </c>
      <c r="F14" s="14" t="s">
        <v>97</v>
      </c>
      <c r="G14" s="15" t="n">
        <v>46295</v>
      </c>
      <c r="H14" s="13" t="s">
        <v>915</v>
      </c>
      <c r="I14" s="13" t="s">
        <v>98</v>
      </c>
      <c r="J14" s="17" t="s">
        <v>13</v>
      </c>
      <c r="K14" s="15" t="n">
        <v>46295</v>
      </c>
      <c r="L14" s="13" t="s">
        <v>1234</v>
      </c>
    </row>
    <row r="15" customFormat="false" ht="23.85" hidden="false" customHeight="false" outlineLevel="0" collapsed="false">
      <c r="A15" s="13" t="s">
        <v>1235</v>
      </c>
      <c r="B15" s="13" t="s">
        <v>749</v>
      </c>
      <c r="C15" s="13" t="s">
        <v>1236</v>
      </c>
      <c r="D15" s="13" t="s">
        <v>847</v>
      </c>
      <c r="E15" s="13" t="s">
        <v>813</v>
      </c>
      <c r="F15" s="14" t="s">
        <v>814</v>
      </c>
      <c r="G15" s="15" t="n">
        <v>46295</v>
      </c>
      <c r="H15" s="13" t="s">
        <v>749</v>
      </c>
      <c r="I15" s="13" t="s">
        <v>98</v>
      </c>
      <c r="J15" s="17" t="s">
        <v>13</v>
      </c>
      <c r="K15" s="15" t="n">
        <v>46295</v>
      </c>
      <c r="L15" s="13"/>
    </row>
  </sheetData>
  <autoFilter ref="A1:L15"/>
  <dataValidations count="1">
    <dataValidation allowBlank="true" errorStyle="stop" operator="between" showDropDown="false" showErrorMessage="false" showInputMessage="false" sqref="J2:J500" type="list">
      <formula1>"Primary source,Secondary - unverified,Conflicting,Not researched"</formula1>
      <formula2>0</formula2>
    </dataValidation>
  </dataValidations>
  <hyperlinks>
    <hyperlink ref="F2" r:id="rId1" display="https://techsavvyinsurance.com/answers/which-states-adopted-naic-ai-model-bulletin/"/>
    <hyperlink ref="F3" r:id="rId2" display="https://www.meilynx.com/reference/naic-ai-model-bulletin"/>
    <hyperlink ref="F4" r:id="rId3" display="https://actuary.info/insights/ai-regulation-insurance-naic-2026"/>
    <hyperlink ref="F5" r:id="rId4" display="https://www.leaddistro.ai/blog/one-to-one-consent"/>
    <hyperlink ref="F6" r:id="rId5" display="https://www.getinsureleads.com/blog/fcc-one-to-one-consent-rule-status-update-2026"/>
    <hyperlink ref="F7" r:id="rId6" display="https://www.congress.gov/crs-product/IN10835"/>
    <hyperlink ref="F8" r:id="rId7" display="https://www.insurance.ca.gov/01-consumers/180-climate-change/SustainableInsuranceStrategy.cfm"/>
    <hyperlink ref="F9" r:id="rId8" display="https://www.insurance.ca.gov/0400-news/0100-press-releases/2025/release079-2025.cfm"/>
    <hyperlink ref="F10" r:id="rId9" display="https://www.vilesandbeckman.com/blog/did-florida-repeal-no-fault-insurance-the-pip-myths-and-the-facts-for-2026/"/>
    <hyperlink ref="F11" r:id="rId10" display="https://www.tdi.texas.gov/pubs/consumer/cb020.html"/>
    <hyperlink ref="F12" r:id="rId11" display="https://coverageclassroom.com/learn/citizens-flood-insurance-requirement"/>
    <hyperlink ref="F13" r:id="rId12" display="https://www.insuremojo.com/telematics-insurance-data-privacy-bills-2026/"/>
    <hyperlink ref="F14" r:id="rId13" display="https://www.carinsurance.com/Articles/minimum-liability-car-insurance-requirements-by-state.aspx"/>
    <hyperlink ref="F15" r:id="rId14" display="https://www.moneygeek.com/insurance/auto/which-insurance-companies-dont-check-credit-scor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44"/>
    <col collapsed="false" customWidth="true" hidden="false" outlineLevel="0" max="4" min="4" style="0" width="24"/>
    <col collapsed="false" customWidth="true" hidden="false" outlineLevel="0" max="5" min="5" style="0" width="52"/>
    <col collapsed="false" customWidth="true" hidden="false" outlineLevel="0" max="6" min="6" style="0" width="40"/>
    <col collapsed="false" customWidth="true" hidden="false" outlineLevel="0" max="7" min="7" style="0" width="20"/>
    <col collapsed="false" customWidth="true" hidden="false" outlineLevel="0" max="8" min="8" style="0" width="44"/>
  </cols>
  <sheetData>
    <row r="1" customFormat="false" ht="31.5" hidden="false" customHeight="true" outlineLevel="0" collapsed="false">
      <c r="A1" s="12" t="s">
        <v>1237</v>
      </c>
      <c r="B1" s="12" t="s">
        <v>327</v>
      </c>
      <c r="C1" s="12" t="s">
        <v>1238</v>
      </c>
      <c r="D1" s="12" t="s">
        <v>1239</v>
      </c>
      <c r="E1" s="12" t="s">
        <v>1240</v>
      </c>
      <c r="F1" s="12" t="s">
        <v>67</v>
      </c>
      <c r="G1" s="12" t="s">
        <v>71</v>
      </c>
      <c r="H1" s="12" t="s">
        <v>1241</v>
      </c>
    </row>
    <row r="2" customFormat="false" ht="35.05" hidden="false" customHeight="false" outlineLevel="0" collapsed="false">
      <c r="A2" s="13" t="s">
        <v>1242</v>
      </c>
      <c r="B2" s="13" t="s">
        <v>1243</v>
      </c>
      <c r="C2" s="13" t="s">
        <v>1244</v>
      </c>
      <c r="D2" s="13" t="s">
        <v>1245</v>
      </c>
      <c r="E2" s="13" t="s">
        <v>1246</v>
      </c>
      <c r="F2" s="14" t="s">
        <v>1247</v>
      </c>
      <c r="G2" s="17" t="s">
        <v>13</v>
      </c>
      <c r="H2" s="13" t="s">
        <v>1248</v>
      </c>
    </row>
    <row r="3" customFormat="false" ht="23.85" hidden="false" customHeight="false" outlineLevel="0" collapsed="false">
      <c r="A3" s="13" t="s">
        <v>1249</v>
      </c>
      <c r="B3" s="13" t="s">
        <v>1250</v>
      </c>
      <c r="C3" s="13" t="s">
        <v>1251</v>
      </c>
      <c r="D3" s="13" t="s">
        <v>1252</v>
      </c>
      <c r="E3" s="13" t="s">
        <v>1253</v>
      </c>
      <c r="F3" s="14" t="s">
        <v>1254</v>
      </c>
      <c r="G3" s="17" t="s">
        <v>13</v>
      </c>
      <c r="H3" s="13" t="s">
        <v>1255</v>
      </c>
    </row>
    <row r="4" customFormat="false" ht="23.85" hidden="false" customHeight="false" outlineLevel="0" collapsed="false">
      <c r="A4" s="13" t="s">
        <v>1256</v>
      </c>
      <c r="B4" s="13" t="s">
        <v>1257</v>
      </c>
      <c r="C4" s="13" t="s">
        <v>1258</v>
      </c>
      <c r="D4" s="13" t="s">
        <v>1259</v>
      </c>
      <c r="E4" s="13" t="s">
        <v>1260</v>
      </c>
      <c r="F4" s="14" t="s">
        <v>1261</v>
      </c>
      <c r="G4" s="17" t="s">
        <v>13</v>
      </c>
      <c r="H4" s="13" t="s">
        <v>1262</v>
      </c>
    </row>
    <row r="5" customFormat="false" ht="35.05" hidden="false" customHeight="false" outlineLevel="0" collapsed="false">
      <c r="A5" s="13" t="s">
        <v>1263</v>
      </c>
      <c r="B5" s="13" t="s">
        <v>1264</v>
      </c>
      <c r="C5" s="13" t="s">
        <v>1265</v>
      </c>
      <c r="D5" s="13" t="s">
        <v>1266</v>
      </c>
      <c r="E5" s="13" t="s">
        <v>1267</v>
      </c>
      <c r="F5" s="14" t="s">
        <v>1268</v>
      </c>
      <c r="G5" s="17" t="s">
        <v>13</v>
      </c>
      <c r="H5" s="13" t="s">
        <v>1269</v>
      </c>
    </row>
    <row r="6" customFormat="false" ht="23.85" hidden="false" customHeight="false" outlineLevel="0" collapsed="false">
      <c r="A6" s="13" t="s">
        <v>1270</v>
      </c>
      <c r="B6" s="13" t="s">
        <v>1271</v>
      </c>
      <c r="C6" s="13" t="s">
        <v>1272</v>
      </c>
      <c r="D6" s="13" t="s">
        <v>1273</v>
      </c>
      <c r="E6" s="13" t="s">
        <v>1274</v>
      </c>
      <c r="F6" s="14" t="s">
        <v>127</v>
      </c>
      <c r="G6" s="16" t="s">
        <v>11</v>
      </c>
      <c r="H6" s="13" t="s">
        <v>1275</v>
      </c>
    </row>
    <row r="8" customFormat="false" ht="15" hidden="false" customHeight="false" outlineLevel="0" collapsed="false">
      <c r="A8" s="24" t="s">
        <v>1276</v>
      </c>
    </row>
  </sheetData>
  <hyperlinks>
    <hyperlink ref="F2" r:id="rId1" display="https://www.thezebra.com/"/>
    <hyperlink ref="F3" r:id="rId2" display="https://insurify.com/car-insurance/"/>
    <hyperlink ref="F4" r:id="rId3" display="https://www.compare.com/auto-insurance/compare-insurance-companies/best-car-insurance-comparison-sites"/>
    <hyperlink ref="F5" r:id="rId4" display="https://www.thezebra.com/auto-insurance/"/>
    <hyperlink ref="F6" r:id="rId5" display="https://www.insurance.ca.gov/01-consumers/105-type/95-guides/01-auto/auto101.cf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4" min="4" style="0" width="55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2" t="s">
        <v>1277</v>
      </c>
      <c r="B1" s="12" t="s">
        <v>62</v>
      </c>
      <c r="C1" s="12" t="s">
        <v>1278</v>
      </c>
      <c r="D1" s="12" t="s">
        <v>1279</v>
      </c>
      <c r="E1" s="12" t="s">
        <v>1280</v>
      </c>
      <c r="F1" s="12" t="s">
        <v>1281</v>
      </c>
    </row>
    <row r="2" customFormat="false" ht="23.85" hidden="false" customHeight="false" outlineLevel="0" collapsed="false">
      <c r="A2" s="13" t="n">
        <v>1</v>
      </c>
      <c r="B2" s="13" t="s">
        <v>1282</v>
      </c>
      <c r="C2" s="13" t="s">
        <v>1283</v>
      </c>
      <c r="D2" s="13" t="s">
        <v>1284</v>
      </c>
      <c r="E2" s="13" t="s">
        <v>1285</v>
      </c>
      <c r="F2" s="13" t="s">
        <v>1286</v>
      </c>
    </row>
    <row r="3" customFormat="false" ht="23.85" hidden="false" customHeight="false" outlineLevel="0" collapsed="false">
      <c r="A3" s="13" t="n">
        <v>2</v>
      </c>
      <c r="B3" s="13" t="s">
        <v>1282</v>
      </c>
      <c r="C3" s="13" t="s">
        <v>1287</v>
      </c>
      <c r="D3" s="13" t="s">
        <v>1288</v>
      </c>
      <c r="E3" s="13" t="s">
        <v>1285</v>
      </c>
      <c r="F3" s="13" t="s">
        <v>1286</v>
      </c>
    </row>
    <row r="4" customFormat="false" ht="23.85" hidden="false" customHeight="false" outlineLevel="0" collapsed="false">
      <c r="A4" s="13" t="n">
        <v>3</v>
      </c>
      <c r="B4" s="13" t="s">
        <v>1289</v>
      </c>
      <c r="C4" s="13" t="s">
        <v>1290</v>
      </c>
      <c r="D4" s="13" t="s">
        <v>1291</v>
      </c>
      <c r="E4" s="13" t="s">
        <v>1285</v>
      </c>
      <c r="F4" s="13" t="s">
        <v>1286</v>
      </c>
    </row>
    <row r="5" customFormat="false" ht="23.85" hidden="false" customHeight="false" outlineLevel="0" collapsed="false">
      <c r="A5" s="13" t="n">
        <v>4</v>
      </c>
      <c r="B5" s="13" t="s">
        <v>1292</v>
      </c>
      <c r="C5" s="13" t="s">
        <v>1293</v>
      </c>
      <c r="D5" s="13" t="s">
        <v>1294</v>
      </c>
      <c r="E5" s="13" t="s">
        <v>1285</v>
      </c>
      <c r="F5" s="13" t="s">
        <v>1286</v>
      </c>
    </row>
    <row r="6" customFormat="false" ht="23.85" hidden="false" customHeight="false" outlineLevel="0" collapsed="false">
      <c r="A6" s="13" t="n">
        <v>5</v>
      </c>
      <c r="B6" s="13" t="s">
        <v>1295</v>
      </c>
      <c r="C6" s="13" t="s">
        <v>1296</v>
      </c>
      <c r="D6" s="13" t="s">
        <v>1297</v>
      </c>
      <c r="E6" s="13" t="s">
        <v>1285</v>
      </c>
      <c r="F6" s="13" t="s">
        <v>1286</v>
      </c>
    </row>
    <row r="7" customFormat="false" ht="35.05" hidden="false" customHeight="false" outlineLevel="0" collapsed="false">
      <c r="A7" s="13" t="n">
        <v>6</v>
      </c>
      <c r="B7" s="13" t="s">
        <v>1298</v>
      </c>
      <c r="C7" s="13" t="s">
        <v>1299</v>
      </c>
      <c r="D7" s="13" t="s">
        <v>1300</v>
      </c>
      <c r="E7" s="13" t="s">
        <v>1285</v>
      </c>
      <c r="F7" s="13" t="s">
        <v>1286</v>
      </c>
    </row>
    <row r="8" customFormat="false" ht="23.85" hidden="false" customHeight="false" outlineLevel="0" collapsed="false">
      <c r="A8" s="13" t="n">
        <v>7</v>
      </c>
      <c r="B8" s="13" t="s">
        <v>1301</v>
      </c>
      <c r="C8" s="13" t="s">
        <v>1302</v>
      </c>
      <c r="D8" s="13" t="s">
        <v>1303</v>
      </c>
      <c r="E8" s="13" t="s">
        <v>1304</v>
      </c>
      <c r="F8" s="13" t="s">
        <v>1286</v>
      </c>
    </row>
    <row r="9" customFormat="false" ht="23.85" hidden="false" customHeight="false" outlineLevel="0" collapsed="false">
      <c r="A9" s="13" t="n">
        <v>8</v>
      </c>
      <c r="B9" s="13" t="s">
        <v>1305</v>
      </c>
      <c r="C9" s="13" t="s">
        <v>1306</v>
      </c>
      <c r="D9" s="13" t="s">
        <v>1307</v>
      </c>
      <c r="E9" s="13" t="s">
        <v>1285</v>
      </c>
      <c r="F9" s="13" t="s">
        <v>1286</v>
      </c>
    </row>
    <row r="10" customFormat="false" ht="23.85" hidden="false" customHeight="false" outlineLevel="0" collapsed="false">
      <c r="A10" s="13" t="n">
        <v>9</v>
      </c>
      <c r="B10" s="13" t="s">
        <v>1308</v>
      </c>
      <c r="C10" s="13" t="s">
        <v>1309</v>
      </c>
      <c r="D10" s="13" t="s">
        <v>1310</v>
      </c>
      <c r="E10" s="13" t="s">
        <v>1304</v>
      </c>
      <c r="F10" s="13" t="s">
        <v>1286</v>
      </c>
    </row>
    <row r="11" customFormat="false" ht="23.85" hidden="false" customHeight="false" outlineLevel="0" collapsed="false">
      <c r="A11" s="13" t="n">
        <v>10</v>
      </c>
      <c r="B11" s="13" t="s">
        <v>1311</v>
      </c>
      <c r="C11" s="13" t="s">
        <v>1312</v>
      </c>
      <c r="D11" s="13" t="s">
        <v>1313</v>
      </c>
      <c r="E11" s="13" t="s">
        <v>1304</v>
      </c>
      <c r="F11" s="13" t="s">
        <v>1286</v>
      </c>
    </row>
    <row r="12" customFormat="false" ht="35.05" hidden="false" customHeight="false" outlineLevel="0" collapsed="false">
      <c r="A12" s="13" t="n">
        <v>11</v>
      </c>
      <c r="B12" s="13" t="s">
        <v>1314</v>
      </c>
      <c r="C12" s="13" t="s">
        <v>1315</v>
      </c>
      <c r="D12" s="13" t="s">
        <v>1316</v>
      </c>
      <c r="E12" s="13" t="s">
        <v>1285</v>
      </c>
      <c r="F12" s="13" t="s">
        <v>1286</v>
      </c>
    </row>
    <row r="13" customFormat="false" ht="23.85" hidden="false" customHeight="false" outlineLevel="0" collapsed="false">
      <c r="A13" s="13" t="n">
        <v>12</v>
      </c>
      <c r="B13" s="13" t="s">
        <v>1317</v>
      </c>
      <c r="C13" s="13" t="s">
        <v>1318</v>
      </c>
      <c r="D13" s="13" t="s">
        <v>1319</v>
      </c>
      <c r="E13" s="13" t="s">
        <v>1304</v>
      </c>
      <c r="F13" s="13" t="s">
        <v>1286</v>
      </c>
    </row>
    <row r="14" customFormat="false" ht="15" hidden="false" customHeight="false" outlineLevel="0" collapsed="false">
      <c r="A14" s="13" t="n">
        <v>13</v>
      </c>
      <c r="B14" s="13" t="s">
        <v>1320</v>
      </c>
      <c r="C14" s="13" t="s">
        <v>1321</v>
      </c>
      <c r="D14" s="13" t="s">
        <v>1322</v>
      </c>
      <c r="E14" s="13" t="s">
        <v>1304</v>
      </c>
      <c r="F14" s="13" t="s">
        <v>1286</v>
      </c>
    </row>
    <row r="15" customFormat="false" ht="23.85" hidden="false" customHeight="false" outlineLevel="0" collapsed="false">
      <c r="A15" s="13" t="n">
        <v>14</v>
      </c>
      <c r="B15" s="13" t="s">
        <v>1323</v>
      </c>
      <c r="C15" s="13" t="s">
        <v>1324</v>
      </c>
      <c r="D15" s="13" t="s">
        <v>1325</v>
      </c>
      <c r="E15" s="13" t="s">
        <v>1285</v>
      </c>
      <c r="F15" s="13" t="s">
        <v>1286</v>
      </c>
    </row>
    <row r="16" customFormat="false" ht="23.85" hidden="false" customHeight="false" outlineLevel="0" collapsed="false">
      <c r="A16" s="13" t="n">
        <v>15</v>
      </c>
      <c r="B16" s="13" t="s">
        <v>1323</v>
      </c>
      <c r="C16" s="13" t="s">
        <v>1326</v>
      </c>
      <c r="D16" s="13" t="s">
        <v>1327</v>
      </c>
      <c r="E16" s="13" t="s">
        <v>1304</v>
      </c>
      <c r="F16" s="13" t="s">
        <v>1286</v>
      </c>
    </row>
    <row r="17" customFormat="false" ht="23.85" hidden="false" customHeight="false" outlineLevel="0" collapsed="false">
      <c r="A17" s="13" t="n">
        <v>16</v>
      </c>
      <c r="B17" s="13" t="s">
        <v>1323</v>
      </c>
      <c r="C17" s="13" t="s">
        <v>1328</v>
      </c>
      <c r="D17" s="13" t="s">
        <v>1329</v>
      </c>
      <c r="E17" s="13" t="s">
        <v>1330</v>
      </c>
      <c r="F17" s="13" t="s">
        <v>1286</v>
      </c>
    </row>
    <row r="18" customFormat="false" ht="23.85" hidden="false" customHeight="false" outlineLevel="0" collapsed="false">
      <c r="A18" s="13" t="n">
        <v>17</v>
      </c>
      <c r="B18" s="13" t="s">
        <v>1323</v>
      </c>
      <c r="C18" s="13" t="s">
        <v>1331</v>
      </c>
      <c r="D18" s="13" t="s">
        <v>1332</v>
      </c>
      <c r="E18" s="13" t="s">
        <v>1285</v>
      </c>
      <c r="F18" s="13" t="s">
        <v>1286</v>
      </c>
    </row>
    <row r="19" customFormat="false" ht="23.85" hidden="false" customHeight="false" outlineLevel="0" collapsed="false">
      <c r="A19" s="13" t="n">
        <v>18</v>
      </c>
      <c r="B19" s="13" t="s">
        <v>915</v>
      </c>
      <c r="C19" s="13" t="s">
        <v>1333</v>
      </c>
      <c r="D19" s="13" t="s">
        <v>1334</v>
      </c>
      <c r="E19" s="13" t="s">
        <v>1304</v>
      </c>
      <c r="F19" s="13" t="s">
        <v>1286</v>
      </c>
    </row>
    <row r="20" customFormat="false" ht="35.05" hidden="false" customHeight="false" outlineLevel="0" collapsed="false">
      <c r="A20" s="13" t="n">
        <v>19</v>
      </c>
      <c r="B20" s="13" t="s">
        <v>1335</v>
      </c>
      <c r="C20" s="13" t="s">
        <v>1336</v>
      </c>
      <c r="D20" s="13" t="s">
        <v>1337</v>
      </c>
      <c r="E20" s="13" t="s">
        <v>1304</v>
      </c>
      <c r="F20" s="13" t="s">
        <v>1286</v>
      </c>
    </row>
    <row r="21" customFormat="false" ht="15" hidden="false" customHeight="false" outlineLevel="0" collapsed="false">
      <c r="A21" s="13" t="n">
        <v>20</v>
      </c>
      <c r="B21" s="13" t="s">
        <v>1338</v>
      </c>
      <c r="C21" s="13" t="s">
        <v>1339</v>
      </c>
      <c r="D21" s="13" t="s">
        <v>1340</v>
      </c>
      <c r="E21" s="13" t="s">
        <v>1330</v>
      </c>
      <c r="F21" s="13" t="s">
        <v>1286</v>
      </c>
    </row>
    <row r="23" customFormat="false" ht="15" hidden="false" customHeight="false" outlineLevel="0" collapsed="false">
      <c r="A23" s="24" t="s">
        <v>1341</v>
      </c>
    </row>
  </sheetData>
  <autoFilter ref="A1:F21"/>
  <dataValidations count="1">
    <dataValidation allowBlank="true" errorStyle="stop" operator="between" showDropDown="false" showErrorMessage="false" showInputMessage="false" sqref="F2:F200" type="list">
      <formula1>"Open,In progress,Answered"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56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14"/>
    <col collapsed="false" customWidth="true" hidden="false" outlineLevel="0" max="8" min="7" style="0" width="16"/>
  </cols>
  <sheetData>
    <row r="1" customFormat="false" ht="31.5" hidden="false" customHeight="true" outlineLevel="0" collapsed="false">
      <c r="A1" s="12" t="s">
        <v>1342</v>
      </c>
      <c r="B1" s="12" t="s">
        <v>1343</v>
      </c>
      <c r="C1" s="12" t="s">
        <v>1344</v>
      </c>
      <c r="D1" s="12" t="s">
        <v>1345</v>
      </c>
      <c r="E1" s="12" t="s">
        <v>1346</v>
      </c>
      <c r="F1" s="12" t="s">
        <v>1347</v>
      </c>
      <c r="G1" s="12" t="s">
        <v>1348</v>
      </c>
      <c r="H1" s="12" t="s">
        <v>1281</v>
      </c>
    </row>
    <row r="2" customFormat="false" ht="15" hidden="false" customHeight="false" outlineLevel="0" collapsed="false">
      <c r="A2" s="13" t="s">
        <v>1349</v>
      </c>
      <c r="B2" s="13" t="s">
        <v>1350</v>
      </c>
      <c r="C2" s="25"/>
      <c r="D2" s="26" t="n">
        <v>90</v>
      </c>
      <c r="E2" s="13" t="s">
        <v>1351</v>
      </c>
      <c r="F2" s="27" t="n">
        <v>46295</v>
      </c>
      <c r="G2" s="15" t="n">
        <f aca="false">IF(F2="","Verify now",F2+D2)</f>
        <v>46385</v>
      </c>
      <c r="H2" s="13" t="str">
        <f aca="true">IF(F2="","Never verified",IF(TODAY()&gt;F2+D2,"Overdue","OK"))</f>
        <v>OK</v>
      </c>
    </row>
    <row r="3" customFormat="false" ht="23.85" hidden="false" customHeight="false" outlineLevel="0" collapsed="false">
      <c r="A3" s="13" t="s">
        <v>1352</v>
      </c>
      <c r="B3" s="13" t="s">
        <v>1353</v>
      </c>
      <c r="C3" s="25"/>
      <c r="D3" s="26" t="n">
        <v>180</v>
      </c>
      <c r="E3" s="13" t="s">
        <v>1354</v>
      </c>
      <c r="F3" s="27" t="n">
        <v>46295</v>
      </c>
      <c r="G3" s="15" t="n">
        <f aca="false">IF(F3="","Verify now",F3+D3)</f>
        <v>46475</v>
      </c>
      <c r="H3" s="13" t="str">
        <f aca="true">IF(F3="","Never verified",IF(TODAY()&gt;F3+D3,"Overdue","OK"))</f>
        <v>OK</v>
      </c>
    </row>
    <row r="4" customFormat="false" ht="23.85" hidden="false" customHeight="false" outlineLevel="0" collapsed="false">
      <c r="A4" s="13" t="s">
        <v>1355</v>
      </c>
      <c r="B4" s="13" t="s">
        <v>1356</v>
      </c>
      <c r="C4" s="25"/>
      <c r="D4" s="26" t="n">
        <v>180</v>
      </c>
      <c r="E4" s="13" t="s">
        <v>1357</v>
      </c>
      <c r="F4" s="27" t="n">
        <v>46295</v>
      </c>
      <c r="G4" s="15" t="n">
        <f aca="false">IF(F4="","Verify now",F4+D4)</f>
        <v>46475</v>
      </c>
      <c r="H4" s="13" t="str">
        <f aca="true">IF(F4="","Never verified",IF(TODAY()&gt;F4+D4,"Overdue","OK"))</f>
        <v>OK</v>
      </c>
    </row>
    <row r="5" customFormat="false" ht="23.85" hidden="false" customHeight="false" outlineLevel="0" collapsed="false">
      <c r="A5" s="13" t="s">
        <v>1358</v>
      </c>
      <c r="B5" s="13" t="s">
        <v>1359</v>
      </c>
      <c r="C5" s="25"/>
      <c r="D5" s="26" t="n">
        <v>30</v>
      </c>
      <c r="E5" s="13" t="s">
        <v>1360</v>
      </c>
      <c r="F5" s="27" t="n">
        <v>46295</v>
      </c>
      <c r="G5" s="15" t="n">
        <f aca="false">IF(F5="","Verify now",F5+D5)</f>
        <v>46325</v>
      </c>
      <c r="H5" s="13" t="str">
        <f aca="true">IF(F5="","Never verified",IF(TODAY()&gt;F5+D5,"Overdue","OK"))</f>
        <v>OK</v>
      </c>
    </row>
    <row r="6" customFormat="false" ht="23.85" hidden="false" customHeight="false" outlineLevel="0" collapsed="false">
      <c r="A6" s="13" t="s">
        <v>1361</v>
      </c>
      <c r="B6" s="13" t="s">
        <v>1362</v>
      </c>
      <c r="C6" s="25"/>
      <c r="D6" s="26" t="n">
        <v>90</v>
      </c>
      <c r="E6" s="13" t="s">
        <v>1363</v>
      </c>
      <c r="F6" s="27" t="n">
        <v>46295</v>
      </c>
      <c r="G6" s="15" t="n">
        <f aca="false">IF(F6="","Verify now",F6+D6)</f>
        <v>46385</v>
      </c>
      <c r="H6" s="13" t="str">
        <f aca="true">IF(F6="","Never verified",IF(TODAY()&gt;F6+D6,"Overdue","OK"))</f>
        <v>OK</v>
      </c>
    </row>
    <row r="7" customFormat="false" ht="23.85" hidden="false" customHeight="false" outlineLevel="0" collapsed="false">
      <c r="A7" s="13" t="s">
        <v>1364</v>
      </c>
      <c r="B7" s="13" t="s">
        <v>1365</v>
      </c>
      <c r="C7" s="25"/>
      <c r="D7" s="26" t="n">
        <v>30</v>
      </c>
      <c r="E7" s="13" t="s">
        <v>1366</v>
      </c>
      <c r="F7" s="27" t="n">
        <v>46295</v>
      </c>
      <c r="G7" s="15" t="n">
        <f aca="false">IF(F7="","Verify now",F7+D7)</f>
        <v>46325</v>
      </c>
      <c r="H7" s="13" t="str">
        <f aca="true">IF(F7="","Never verified",IF(TODAY()&gt;F7+D7,"Overdue","OK"))</f>
        <v>OK</v>
      </c>
    </row>
    <row r="8" customFormat="false" ht="15" hidden="false" customHeight="false" outlineLevel="0" collapsed="false">
      <c r="A8" s="13" t="s">
        <v>1367</v>
      </c>
      <c r="B8" s="13" t="s">
        <v>1368</v>
      </c>
      <c r="C8" s="25"/>
      <c r="D8" s="26" t="n">
        <v>90</v>
      </c>
      <c r="E8" s="13" t="s">
        <v>1369</v>
      </c>
      <c r="F8" s="27"/>
      <c r="G8" s="15" t="str">
        <f aca="false">IF(F8="","Verify now",F8+D8)</f>
        <v>Verify now</v>
      </c>
      <c r="H8" s="13" t="str">
        <f aca="true">IF(F8="","Never verified",IF(TODAY()&gt;F8+D8,"Overdue","OK"))</f>
        <v>Never verified</v>
      </c>
    </row>
    <row r="9" customFormat="false" ht="15" hidden="false" customHeight="false" outlineLevel="0" collapsed="false">
      <c r="A9" s="13" t="s">
        <v>1370</v>
      </c>
      <c r="B9" s="13" t="s">
        <v>1371</v>
      </c>
      <c r="C9" s="25"/>
      <c r="D9" s="26" t="n">
        <v>180</v>
      </c>
      <c r="E9" s="13" t="s">
        <v>1372</v>
      </c>
      <c r="F9" s="27"/>
      <c r="G9" s="15" t="str">
        <f aca="false">IF(F9="","Verify now",F9+D9)</f>
        <v>Verify now</v>
      </c>
      <c r="H9" s="13" t="str">
        <f aca="true">IF(F9="","Never verified",IF(TODAY()&gt;F9+D9,"Overdue","OK"))</f>
        <v>Never verified</v>
      </c>
    </row>
    <row r="10" customFormat="false" ht="15" hidden="false" customHeight="false" outlineLevel="0" collapsed="false">
      <c r="A10" s="13" t="s">
        <v>1373</v>
      </c>
      <c r="B10" s="13" t="s">
        <v>1374</v>
      </c>
      <c r="C10" s="25"/>
      <c r="D10" s="26" t="n">
        <v>180</v>
      </c>
      <c r="E10" s="13" t="s">
        <v>1375</v>
      </c>
      <c r="F10" s="27"/>
      <c r="G10" s="15" t="str">
        <f aca="false">IF(F10="","Verify now",F10+D10)</f>
        <v>Verify now</v>
      </c>
      <c r="H10" s="13" t="str">
        <f aca="true">IF(F10="","Never verified",IF(TODAY()&gt;F10+D10,"Overdue","OK"))</f>
        <v>Never verified</v>
      </c>
    </row>
    <row r="11" customFormat="false" ht="15" hidden="false" customHeight="false" outlineLevel="0" collapsed="false">
      <c r="A11" s="13" t="s">
        <v>1376</v>
      </c>
      <c r="B11" s="13" t="s">
        <v>1377</v>
      </c>
      <c r="C11" s="25"/>
      <c r="D11" s="26" t="n">
        <v>90</v>
      </c>
      <c r="E11" s="13" t="s">
        <v>1378</v>
      </c>
      <c r="F11" s="27"/>
      <c r="G11" s="15" t="str">
        <f aca="false">IF(F11="","Verify now",F11+D11)</f>
        <v>Verify now</v>
      </c>
      <c r="H11" s="13" t="str">
        <f aca="true">IF(F11="","Never verified",IF(TODAY()&gt;F11+D11,"Overdue","OK"))</f>
        <v>Never verified</v>
      </c>
    </row>
    <row r="12" customFormat="false" ht="23.85" hidden="false" customHeight="false" outlineLevel="0" collapsed="false">
      <c r="A12" s="13" t="s">
        <v>1379</v>
      </c>
      <c r="B12" s="13" t="s">
        <v>1380</v>
      </c>
      <c r="C12" s="25"/>
      <c r="D12" s="26" t="n">
        <v>30</v>
      </c>
      <c r="E12" s="13" t="s">
        <v>1381</v>
      </c>
      <c r="F12" s="27" t="n">
        <v>46295</v>
      </c>
      <c r="G12" s="15" t="n">
        <f aca="false">IF(F12="","Verify now",F12+D12)</f>
        <v>46325</v>
      </c>
      <c r="H12" s="13" t="str">
        <f aca="true">IF(F12="","Never verified",IF(TODAY()&gt;F12+D12,"Overdue","OK"))</f>
        <v>OK</v>
      </c>
    </row>
    <row r="13" customFormat="false" ht="15" hidden="false" customHeight="false" outlineLevel="0" collapsed="false">
      <c r="A13" s="13" t="s">
        <v>1382</v>
      </c>
      <c r="B13" s="13" t="s">
        <v>1383</v>
      </c>
      <c r="C13" s="25"/>
      <c r="D13" s="26" t="n">
        <v>180</v>
      </c>
      <c r="E13" s="13" t="s">
        <v>1384</v>
      </c>
      <c r="F13" s="27"/>
      <c r="G13" s="15" t="str">
        <f aca="false">IF(F13="","Verify now",F13+D13)</f>
        <v>Verify now</v>
      </c>
      <c r="H13" s="13" t="str">
        <f aca="true">IF(F13="","Never verified",IF(TODAY()&gt;F13+D13,"Overdue","OK"))</f>
        <v>Never verified</v>
      </c>
    </row>
    <row r="14" customFormat="false" ht="15" hidden="false" customHeight="false" outlineLevel="0" collapsed="false">
      <c r="A14" s="13" t="s">
        <v>1385</v>
      </c>
      <c r="B14" s="13" t="s">
        <v>1386</v>
      </c>
      <c r="C14" s="25"/>
      <c r="D14" s="26" t="n">
        <v>90</v>
      </c>
      <c r="E14" s="13" t="s">
        <v>1387</v>
      </c>
      <c r="F14" s="27"/>
      <c r="G14" s="15" t="str">
        <f aca="false">IF(F14="","Verify now",F14+D14)</f>
        <v>Verify now</v>
      </c>
      <c r="H14" s="13" t="str">
        <f aca="true">IF(F14="","Never verified",IF(TODAY()&gt;F14+D14,"Overdue","OK"))</f>
        <v>Never verified</v>
      </c>
    </row>
    <row r="15" customFormat="false" ht="15" hidden="false" customHeight="false" outlineLevel="0" collapsed="false">
      <c r="A15" s="13" t="s">
        <v>1388</v>
      </c>
      <c r="B15" s="13" t="s">
        <v>1389</v>
      </c>
      <c r="C15" s="25"/>
      <c r="D15" s="26" t="n">
        <v>30</v>
      </c>
      <c r="E15" s="13" t="s">
        <v>1390</v>
      </c>
      <c r="F15" s="27"/>
      <c r="G15" s="15" t="str">
        <f aca="false">IF(F15="","Verify now",F15+D15)</f>
        <v>Verify now</v>
      </c>
      <c r="H15" s="13" t="str">
        <f aca="true">IF(F15="","Never verified",IF(TODAY()&gt;F15+D15,"Overdue","OK"))</f>
        <v>Never verified</v>
      </c>
    </row>
    <row r="16" customFormat="false" ht="15" hidden="false" customHeight="false" outlineLevel="0" collapsed="false">
      <c r="A16" s="13" t="s">
        <v>58</v>
      </c>
      <c r="B16" s="13" t="s">
        <v>1391</v>
      </c>
      <c r="C16" s="25"/>
      <c r="D16" s="26" t="n">
        <v>30</v>
      </c>
      <c r="E16" s="13" t="s">
        <v>1392</v>
      </c>
      <c r="F16" s="27"/>
      <c r="G16" s="15" t="str">
        <f aca="false">IF(F16="","Verify now",F16+D16)</f>
        <v>Verify now</v>
      </c>
      <c r="H16" s="13" t="str">
        <f aca="true">IF(F16="","Never verified",IF(TODAY()&gt;F16+D16,"Overdue","OK"))</f>
        <v>Never verified</v>
      </c>
    </row>
    <row r="17" customFormat="false" ht="15" hidden="false" customHeight="false" outlineLevel="0" collapsed="false">
      <c r="A17" s="13" t="s">
        <v>1393</v>
      </c>
      <c r="B17" s="13" t="s">
        <v>1394</v>
      </c>
      <c r="C17" s="25"/>
      <c r="D17" s="26" t="n">
        <v>90</v>
      </c>
      <c r="E17" s="13" t="s">
        <v>1395</v>
      </c>
      <c r="F17" s="27"/>
      <c r="G17" s="15" t="str">
        <f aca="false">IF(F17="","Verify now",F17+D17)</f>
        <v>Verify now</v>
      </c>
      <c r="H17" s="13" t="str">
        <f aca="true">IF(F17="","Never verified",IF(TODAY()&gt;F17+D17,"Overdue","OK"))</f>
        <v>Never verified</v>
      </c>
    </row>
    <row r="18" customFormat="false" ht="15" hidden="false" customHeight="false" outlineLevel="0" collapsed="false">
      <c r="A18" s="13" t="s">
        <v>1396</v>
      </c>
      <c r="B18" s="13" t="s">
        <v>1397</v>
      </c>
      <c r="C18" s="25"/>
      <c r="D18" s="26" t="n">
        <v>180</v>
      </c>
      <c r="E18" s="13" t="s">
        <v>1398</v>
      </c>
      <c r="F18" s="27"/>
      <c r="G18" s="15" t="str">
        <f aca="false">IF(F18="","Verify now",F18+D18)</f>
        <v>Verify now</v>
      </c>
      <c r="H18" s="13" t="str">
        <f aca="true">IF(F18="","Never verified",IF(TODAY()&gt;F18+D18,"Overdue","OK"))</f>
        <v>Never verified</v>
      </c>
    </row>
    <row r="20" customFormat="false" ht="15" hidden="false" customHeight="false" outlineLevel="0" collapsed="false">
      <c r="A20" s="24" t="s">
        <v>1399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44"/>
    <col collapsed="false" customWidth="true" hidden="false" outlineLevel="0" max="4" min="4" style="0" width="38"/>
    <col collapsed="false" customWidth="true" hidden="false" outlineLevel="0" max="5" min="5" style="0" width="32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31.5" hidden="false" customHeight="true" outlineLevel="0" collapsed="false">
      <c r="A1" s="12" t="s">
        <v>1002</v>
      </c>
      <c r="B1" s="12" t="s">
        <v>1400</v>
      </c>
      <c r="C1" s="12" t="s">
        <v>1401</v>
      </c>
      <c r="D1" s="12" t="s">
        <v>1402</v>
      </c>
      <c r="E1" s="12" t="s">
        <v>1403</v>
      </c>
      <c r="F1" s="12" t="s">
        <v>1404</v>
      </c>
      <c r="G1" s="12" t="s">
        <v>1405</v>
      </c>
    </row>
    <row r="2" customFormat="false" ht="23.85" hidden="false" customHeight="false" outlineLevel="0" collapsed="false">
      <c r="A2" s="13" t="s">
        <v>1406</v>
      </c>
      <c r="B2" s="13" t="s">
        <v>1407</v>
      </c>
      <c r="C2" s="13" t="s">
        <v>1408</v>
      </c>
      <c r="D2" s="13" t="s">
        <v>1409</v>
      </c>
      <c r="E2" s="13" t="s">
        <v>1410</v>
      </c>
      <c r="F2" s="13" t="s">
        <v>1411</v>
      </c>
      <c r="G2" s="13"/>
    </row>
    <row r="3" customFormat="false" ht="15" hidden="false" customHeight="false" outlineLevel="0" collapsed="false">
      <c r="A3" s="13" t="s">
        <v>1412</v>
      </c>
      <c r="B3" s="13" t="s">
        <v>1413</v>
      </c>
      <c r="C3" s="13" t="s">
        <v>1414</v>
      </c>
      <c r="D3" s="13" t="s">
        <v>1415</v>
      </c>
      <c r="E3" s="13" t="s">
        <v>1416</v>
      </c>
      <c r="F3" s="13" t="s">
        <v>1411</v>
      </c>
      <c r="G3" s="13"/>
    </row>
    <row r="4" customFormat="false" ht="23.85" hidden="false" customHeight="false" outlineLevel="0" collapsed="false">
      <c r="A4" s="13" t="s">
        <v>1417</v>
      </c>
      <c r="B4" s="13" t="s">
        <v>1418</v>
      </c>
      <c r="C4" s="13" t="s">
        <v>1419</v>
      </c>
      <c r="D4" s="13" t="s">
        <v>1420</v>
      </c>
      <c r="E4" s="13" t="s">
        <v>1421</v>
      </c>
      <c r="F4" s="13" t="s">
        <v>1411</v>
      </c>
      <c r="G4" s="13"/>
    </row>
    <row r="5" customFormat="false" ht="15" hidden="false" customHeight="false" outlineLevel="0" collapsed="false">
      <c r="A5" s="13" t="s">
        <v>1422</v>
      </c>
      <c r="B5" s="13" t="s">
        <v>1423</v>
      </c>
      <c r="C5" s="13" t="s">
        <v>1424</v>
      </c>
      <c r="D5" s="13" t="s">
        <v>1425</v>
      </c>
      <c r="E5" s="13" t="s">
        <v>1426</v>
      </c>
      <c r="F5" s="13" t="s">
        <v>1411</v>
      </c>
      <c r="G5" s="13"/>
    </row>
    <row r="6" customFormat="false" ht="23.85" hidden="false" customHeight="false" outlineLevel="0" collapsed="false">
      <c r="A6" s="13" t="s">
        <v>1427</v>
      </c>
      <c r="B6" s="13" t="s">
        <v>1428</v>
      </c>
      <c r="C6" s="13" t="s">
        <v>1429</v>
      </c>
      <c r="D6" s="13" t="s">
        <v>1430</v>
      </c>
      <c r="E6" s="13" t="s">
        <v>1431</v>
      </c>
      <c r="F6" s="13" t="s">
        <v>1411</v>
      </c>
      <c r="G6" s="13"/>
    </row>
    <row r="7" customFormat="false" ht="35.05" hidden="false" customHeight="false" outlineLevel="0" collapsed="false">
      <c r="A7" s="13" t="s">
        <v>1432</v>
      </c>
      <c r="B7" s="13" t="s">
        <v>1433</v>
      </c>
      <c r="C7" s="13" t="s">
        <v>1434</v>
      </c>
      <c r="D7" s="13" t="s">
        <v>1435</v>
      </c>
      <c r="E7" s="13" t="s">
        <v>1436</v>
      </c>
      <c r="F7" s="13" t="s">
        <v>1437</v>
      </c>
      <c r="G7" s="13" t="s">
        <v>1438</v>
      </c>
    </row>
    <row r="8" customFormat="false" ht="23.85" hidden="false" customHeight="false" outlineLevel="0" collapsed="false">
      <c r="A8" s="13" t="s">
        <v>1439</v>
      </c>
      <c r="B8" s="13" t="s">
        <v>1440</v>
      </c>
      <c r="C8" s="13" t="s">
        <v>1441</v>
      </c>
      <c r="D8" s="13" t="s">
        <v>1442</v>
      </c>
      <c r="E8" s="13" t="s">
        <v>1443</v>
      </c>
      <c r="F8" s="13" t="s">
        <v>1411</v>
      </c>
      <c r="G8" s="13"/>
    </row>
    <row r="9" customFormat="false" ht="23.85" hidden="false" customHeight="false" outlineLevel="0" collapsed="false">
      <c r="A9" s="13" t="s">
        <v>1444</v>
      </c>
      <c r="B9" s="13" t="s">
        <v>1445</v>
      </c>
      <c r="C9" s="13" t="s">
        <v>1446</v>
      </c>
      <c r="D9" s="13" t="s">
        <v>1447</v>
      </c>
      <c r="E9" s="13" t="s">
        <v>1448</v>
      </c>
      <c r="F9" s="13" t="s">
        <v>1411</v>
      </c>
      <c r="G9" s="13"/>
    </row>
    <row r="10" customFormat="false" ht="15" hidden="false" customHeight="false" outlineLevel="0" collapsed="false">
      <c r="A10" s="13" t="s">
        <v>1449</v>
      </c>
      <c r="B10" s="13" t="s">
        <v>1450</v>
      </c>
      <c r="C10" s="13" t="s">
        <v>1451</v>
      </c>
      <c r="D10" s="13" t="s">
        <v>1452</v>
      </c>
      <c r="E10" s="13" t="s">
        <v>1453</v>
      </c>
      <c r="F10" s="13" t="s">
        <v>1437</v>
      </c>
      <c r="G10" s="13" t="s">
        <v>1454</v>
      </c>
    </row>
    <row r="11" customFormat="false" ht="23.85" hidden="false" customHeight="false" outlineLevel="0" collapsed="false">
      <c r="A11" s="13" t="s">
        <v>1455</v>
      </c>
      <c r="B11" s="13" t="s">
        <v>1456</v>
      </c>
      <c r="C11" s="13" t="s">
        <v>1457</v>
      </c>
      <c r="D11" s="13" t="s">
        <v>1458</v>
      </c>
      <c r="E11" s="13" t="s">
        <v>1459</v>
      </c>
      <c r="F11" s="13" t="s">
        <v>1411</v>
      </c>
      <c r="G11" s="13"/>
    </row>
    <row r="12" customFormat="false" ht="15" hidden="false" customHeight="false" outlineLevel="0" collapsed="false">
      <c r="A12" s="13" t="s">
        <v>1460</v>
      </c>
      <c r="B12" s="13" t="s">
        <v>1461</v>
      </c>
      <c r="C12" s="13" t="s">
        <v>1462</v>
      </c>
      <c r="D12" s="13" t="s">
        <v>1463</v>
      </c>
      <c r="E12" s="13" t="s">
        <v>1464</v>
      </c>
      <c r="F12" s="13" t="s">
        <v>1411</v>
      </c>
      <c r="G12" s="13"/>
    </row>
    <row r="13" customFormat="false" ht="15" hidden="false" customHeight="false" outlineLevel="0" collapsed="false">
      <c r="A13" s="13" t="s">
        <v>1465</v>
      </c>
      <c r="B13" s="13" t="s">
        <v>1466</v>
      </c>
      <c r="C13" s="13" t="s">
        <v>1467</v>
      </c>
      <c r="D13" s="13" t="s">
        <v>1468</v>
      </c>
      <c r="E13" s="13" t="s">
        <v>1469</v>
      </c>
      <c r="F13" s="13" t="s">
        <v>1411</v>
      </c>
      <c r="G13" s="13"/>
    </row>
    <row r="14" customFormat="false" ht="23.85" hidden="false" customHeight="false" outlineLevel="0" collapsed="false">
      <c r="A14" s="13" t="s">
        <v>1470</v>
      </c>
      <c r="B14" s="13" t="s">
        <v>1471</v>
      </c>
      <c r="C14" s="13" t="s">
        <v>1472</v>
      </c>
      <c r="D14" s="13" t="s">
        <v>1473</v>
      </c>
      <c r="E14" s="13" t="s">
        <v>1474</v>
      </c>
      <c r="F14" s="13" t="s">
        <v>1411</v>
      </c>
      <c r="G14" s="13"/>
    </row>
    <row r="15" customFormat="false" ht="35.05" hidden="false" customHeight="false" outlineLevel="0" collapsed="false">
      <c r="A15" s="13" t="s">
        <v>1475</v>
      </c>
      <c r="B15" s="13" t="s">
        <v>1476</v>
      </c>
      <c r="C15" s="13" t="s">
        <v>1477</v>
      </c>
      <c r="D15" s="13" t="s">
        <v>1478</v>
      </c>
      <c r="E15" s="13" t="s">
        <v>1479</v>
      </c>
      <c r="F15" s="13" t="s">
        <v>1411</v>
      </c>
      <c r="G15" s="13"/>
    </row>
    <row r="16" customFormat="false" ht="23.85" hidden="false" customHeight="false" outlineLevel="0" collapsed="false">
      <c r="A16" s="13" t="s">
        <v>1480</v>
      </c>
      <c r="B16" s="13" t="s">
        <v>1481</v>
      </c>
      <c r="C16" s="13" t="s">
        <v>1482</v>
      </c>
      <c r="D16" s="13" t="s">
        <v>1483</v>
      </c>
      <c r="E16" s="13" t="s">
        <v>1484</v>
      </c>
      <c r="F16" s="13" t="s">
        <v>1411</v>
      </c>
      <c r="G16" s="13"/>
    </row>
    <row r="17" customFormat="false" ht="23.85" hidden="false" customHeight="false" outlineLevel="0" collapsed="false">
      <c r="A17" s="13" t="s">
        <v>1485</v>
      </c>
      <c r="B17" s="13" t="s">
        <v>1486</v>
      </c>
      <c r="C17" s="13" t="s">
        <v>1487</v>
      </c>
      <c r="D17" s="13" t="s">
        <v>1488</v>
      </c>
      <c r="E17" s="13" t="s">
        <v>1489</v>
      </c>
      <c r="F17" s="13" t="s">
        <v>1411</v>
      </c>
      <c r="G17" s="13"/>
    </row>
    <row r="18" customFormat="false" ht="23.85" hidden="false" customHeight="false" outlineLevel="0" collapsed="false">
      <c r="A18" s="13" t="s">
        <v>1490</v>
      </c>
      <c r="B18" s="13" t="s">
        <v>1491</v>
      </c>
      <c r="C18" s="13" t="s">
        <v>1492</v>
      </c>
      <c r="D18" s="13" t="s">
        <v>1493</v>
      </c>
      <c r="E18" s="13" t="s">
        <v>1494</v>
      </c>
      <c r="F18" s="13" t="s">
        <v>1411</v>
      </c>
      <c r="G18" s="13"/>
    </row>
    <row r="19" customFormat="false" ht="23.85" hidden="false" customHeight="false" outlineLevel="0" collapsed="false">
      <c r="A19" s="13" t="s">
        <v>1495</v>
      </c>
      <c r="B19" s="13" t="s">
        <v>1496</v>
      </c>
      <c r="C19" s="13" t="s">
        <v>1497</v>
      </c>
      <c r="D19" s="13" t="s">
        <v>1498</v>
      </c>
      <c r="E19" s="13" t="s">
        <v>1499</v>
      </c>
      <c r="F19" s="13" t="s">
        <v>1437</v>
      </c>
      <c r="G19" s="13" t="s">
        <v>1500</v>
      </c>
    </row>
    <row r="20" customFormat="false" ht="23.85" hidden="false" customHeight="false" outlineLevel="0" collapsed="false">
      <c r="A20" s="13" t="s">
        <v>1501</v>
      </c>
      <c r="B20" s="13" t="s">
        <v>1502</v>
      </c>
      <c r="C20" s="13" t="s">
        <v>1503</v>
      </c>
      <c r="D20" s="13" t="s">
        <v>1504</v>
      </c>
      <c r="E20" s="13" t="s">
        <v>1505</v>
      </c>
      <c r="F20" s="13" t="s">
        <v>1411</v>
      </c>
      <c r="G20" s="13"/>
    </row>
    <row r="21" customFormat="false" ht="23.85" hidden="false" customHeight="false" outlineLevel="0" collapsed="false">
      <c r="A21" s="13" t="s">
        <v>1506</v>
      </c>
      <c r="B21" s="13" t="s">
        <v>1507</v>
      </c>
      <c r="C21" s="13" t="s">
        <v>1508</v>
      </c>
      <c r="D21" s="13" t="s">
        <v>1509</v>
      </c>
      <c r="E21" s="13" t="s">
        <v>1510</v>
      </c>
      <c r="F21" s="13" t="s">
        <v>1437</v>
      </c>
      <c r="G21" s="13" t="s">
        <v>1511</v>
      </c>
    </row>
  </sheetData>
  <autoFilter ref="A1:G21"/>
  <dataValidations count="1">
    <dataValidation allowBlank="true" errorStyle="stop" operator="between" showDropDown="false" showErrorMessage="false" showInputMessage="false" sqref="F2:F200" type="list">
      <formula1>"No,Yes"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0"/>
    <col collapsed="false" customWidth="true" hidden="false" outlineLevel="0" max="5" min="5" style="0" width="14"/>
  </cols>
  <sheetData>
    <row r="1" customFormat="false" ht="31.5" hidden="false" customHeight="true" outlineLevel="0" collapsed="false">
      <c r="A1" s="12" t="s">
        <v>66</v>
      </c>
      <c r="B1" s="12" t="s">
        <v>1512</v>
      </c>
      <c r="C1" s="12" t="s">
        <v>1513</v>
      </c>
      <c r="D1" s="12" t="s">
        <v>1514</v>
      </c>
      <c r="E1" s="12" t="s">
        <v>1515</v>
      </c>
    </row>
    <row r="2" customFormat="false" ht="15" hidden="false" customHeight="false" outlineLevel="0" collapsed="false">
      <c r="A2" s="13" t="s">
        <v>851</v>
      </c>
      <c r="B2" s="13" t="s">
        <v>853</v>
      </c>
      <c r="C2" s="14" t="s">
        <v>852</v>
      </c>
      <c r="D2" s="13" t="s">
        <v>1516</v>
      </c>
      <c r="E2" s="15" t="n">
        <v>46295</v>
      </c>
    </row>
    <row r="3" customFormat="false" ht="15" hidden="false" customHeight="false" outlineLevel="0" collapsed="false">
      <c r="A3" s="13" t="s">
        <v>934</v>
      </c>
      <c r="B3" s="13" t="s">
        <v>853</v>
      </c>
      <c r="C3" s="14" t="s">
        <v>935</v>
      </c>
      <c r="D3" s="13" t="s">
        <v>1517</v>
      </c>
      <c r="E3" s="15" t="n">
        <v>46295</v>
      </c>
    </row>
    <row r="4" customFormat="false" ht="23.85" hidden="false" customHeight="false" outlineLevel="0" collapsed="false">
      <c r="A4" s="13" t="s">
        <v>1118</v>
      </c>
      <c r="B4" s="13" t="s">
        <v>1518</v>
      </c>
      <c r="C4" s="14" t="s">
        <v>1119</v>
      </c>
      <c r="D4" s="13" t="s">
        <v>1519</v>
      </c>
      <c r="E4" s="15" t="n">
        <v>46295</v>
      </c>
    </row>
    <row r="5" customFormat="false" ht="23.85" hidden="false" customHeight="false" outlineLevel="0" collapsed="false">
      <c r="A5" s="13" t="s">
        <v>1152</v>
      </c>
      <c r="B5" s="13" t="s">
        <v>1518</v>
      </c>
      <c r="C5" s="14" t="s">
        <v>1153</v>
      </c>
      <c r="D5" s="13" t="s">
        <v>1519</v>
      </c>
      <c r="E5" s="15" t="n">
        <v>46295</v>
      </c>
    </row>
    <row r="6" customFormat="false" ht="23.85" hidden="false" customHeight="false" outlineLevel="0" collapsed="false">
      <c r="A6" s="13" t="s">
        <v>939</v>
      </c>
      <c r="B6" s="13" t="s">
        <v>1518</v>
      </c>
      <c r="C6" s="14" t="s">
        <v>940</v>
      </c>
      <c r="D6" s="13" t="s">
        <v>1520</v>
      </c>
      <c r="E6" s="15" t="n">
        <v>46295</v>
      </c>
    </row>
    <row r="7" customFormat="false" ht="23.85" hidden="false" customHeight="false" outlineLevel="0" collapsed="false">
      <c r="A7" s="13" t="s">
        <v>795</v>
      </c>
      <c r="B7" s="13" t="s">
        <v>1518</v>
      </c>
      <c r="C7" s="14" t="s">
        <v>796</v>
      </c>
      <c r="D7" s="13" t="s">
        <v>1521</v>
      </c>
      <c r="E7" s="15" t="n">
        <v>46295</v>
      </c>
    </row>
    <row r="8" customFormat="false" ht="15" hidden="false" customHeight="false" outlineLevel="0" collapsed="false">
      <c r="A8" s="13" t="s">
        <v>697</v>
      </c>
      <c r="B8" s="13" t="s">
        <v>1522</v>
      </c>
      <c r="C8" s="14" t="s">
        <v>698</v>
      </c>
      <c r="D8" s="13"/>
      <c r="E8" s="15" t="n">
        <v>46295</v>
      </c>
    </row>
    <row r="9" customFormat="false" ht="15" hidden="false" customHeight="false" outlineLevel="0" collapsed="false">
      <c r="A9" s="13" t="s">
        <v>955</v>
      </c>
      <c r="B9" s="13" t="s">
        <v>1522</v>
      </c>
      <c r="C9" s="14" t="s">
        <v>956</v>
      </c>
      <c r="D9" s="13"/>
      <c r="E9" s="15" t="n">
        <v>46295</v>
      </c>
    </row>
    <row r="10" customFormat="false" ht="15" hidden="false" customHeight="false" outlineLevel="0" collapsed="false">
      <c r="A10" s="13" t="s">
        <v>807</v>
      </c>
      <c r="B10" s="13" t="s">
        <v>1522</v>
      </c>
      <c r="C10" s="14" t="s">
        <v>808</v>
      </c>
      <c r="D10" s="13"/>
      <c r="E10" s="15" t="n">
        <v>46295</v>
      </c>
    </row>
    <row r="11" customFormat="false" ht="15" hidden="false" customHeight="false" outlineLevel="0" collapsed="false">
      <c r="A11" s="13" t="s">
        <v>716</v>
      </c>
      <c r="B11" s="13" t="s">
        <v>1522</v>
      </c>
      <c r="C11" s="14" t="s">
        <v>717</v>
      </c>
      <c r="D11" s="13" t="s">
        <v>1523</v>
      </c>
      <c r="E11" s="15" t="n">
        <v>46295</v>
      </c>
    </row>
    <row r="12" customFormat="false" ht="15" hidden="false" customHeight="false" outlineLevel="0" collapsed="false">
      <c r="A12" s="13" t="s">
        <v>96</v>
      </c>
      <c r="B12" s="13" t="s">
        <v>1522</v>
      </c>
      <c r="C12" s="14" t="s">
        <v>97</v>
      </c>
      <c r="D12" s="13"/>
      <c r="E12" s="15" t="n">
        <v>46295</v>
      </c>
    </row>
    <row r="13" customFormat="false" ht="15" hidden="false" customHeight="false" outlineLevel="0" collapsed="false">
      <c r="A13" s="13" t="s">
        <v>1130</v>
      </c>
      <c r="B13" s="13" t="s">
        <v>1522</v>
      </c>
      <c r="C13" s="14" t="s">
        <v>1131</v>
      </c>
      <c r="D13" s="13" t="s">
        <v>1524</v>
      </c>
      <c r="E13" s="15" t="n">
        <v>46295</v>
      </c>
    </row>
    <row r="14" customFormat="false" ht="15" hidden="false" customHeight="false" outlineLevel="0" collapsed="false">
      <c r="A14" s="13" t="s">
        <v>801</v>
      </c>
      <c r="B14" s="13" t="s">
        <v>1522</v>
      </c>
      <c r="C14" s="14" t="s">
        <v>802</v>
      </c>
      <c r="D14" s="13" t="s">
        <v>1525</v>
      </c>
      <c r="E14" s="15" t="n">
        <v>46295</v>
      </c>
    </row>
    <row r="15" customFormat="false" ht="15" hidden="false" customHeight="false" outlineLevel="0" collapsed="false">
      <c r="A15" s="13" t="s">
        <v>921</v>
      </c>
      <c r="B15" s="13" t="s">
        <v>1522</v>
      </c>
      <c r="C15" s="14" t="s">
        <v>922</v>
      </c>
      <c r="D15" s="13"/>
      <c r="E15" s="15" t="n">
        <v>46295</v>
      </c>
    </row>
    <row r="16" customFormat="false" ht="15" hidden="false" customHeight="false" outlineLevel="0" collapsed="false">
      <c r="A16" s="13" t="s">
        <v>350</v>
      </c>
      <c r="B16" s="13" t="s">
        <v>1522</v>
      </c>
      <c r="C16" s="14" t="s">
        <v>351</v>
      </c>
      <c r="D16" s="13" t="s">
        <v>1526</v>
      </c>
      <c r="E16" s="15" t="n">
        <v>46295</v>
      </c>
    </row>
    <row r="17" customFormat="false" ht="15" hidden="false" customHeight="false" outlineLevel="0" collapsed="false">
      <c r="A17" s="13" t="s">
        <v>344</v>
      </c>
      <c r="B17" s="13" t="s">
        <v>1522</v>
      </c>
      <c r="C17" s="14" t="s">
        <v>345</v>
      </c>
      <c r="D17" s="13" t="s">
        <v>1527</v>
      </c>
      <c r="E17" s="15" t="n">
        <v>46295</v>
      </c>
    </row>
    <row r="18" customFormat="false" ht="15" hidden="false" customHeight="false" outlineLevel="0" collapsed="false">
      <c r="A18" s="13" t="s">
        <v>1100</v>
      </c>
      <c r="B18" s="13" t="s">
        <v>1522</v>
      </c>
      <c r="C18" s="14" t="s">
        <v>1101</v>
      </c>
      <c r="D18" s="13" t="s">
        <v>1528</v>
      </c>
      <c r="E18" s="15" t="n">
        <v>46295</v>
      </c>
    </row>
    <row r="19" customFormat="false" ht="15" hidden="false" customHeight="false" outlineLevel="0" collapsed="false">
      <c r="A19" s="13" t="s">
        <v>841</v>
      </c>
      <c r="B19" s="13" t="s">
        <v>1522</v>
      </c>
      <c r="C19" s="14" t="s">
        <v>842</v>
      </c>
      <c r="D19" s="13"/>
      <c r="E19" s="15" t="n">
        <v>46295</v>
      </c>
    </row>
    <row r="20" customFormat="false" ht="15" hidden="false" customHeight="false" outlineLevel="0" collapsed="false">
      <c r="A20" s="13" t="s">
        <v>813</v>
      </c>
      <c r="B20" s="13" t="s">
        <v>1522</v>
      </c>
      <c r="C20" s="14" t="s">
        <v>814</v>
      </c>
      <c r="D20" s="13" t="s">
        <v>1529</v>
      </c>
      <c r="E20" s="15" t="n">
        <v>46295</v>
      </c>
    </row>
    <row r="21" customFormat="false" ht="15" hidden="false" customHeight="false" outlineLevel="0" collapsed="false">
      <c r="A21" s="13" t="s">
        <v>1149</v>
      </c>
      <c r="B21" s="13" t="s">
        <v>1522</v>
      </c>
      <c r="C21" s="14" t="s">
        <v>1150</v>
      </c>
      <c r="D21" s="13" t="s">
        <v>1530</v>
      </c>
      <c r="E21" s="15" t="n">
        <v>46295</v>
      </c>
    </row>
    <row r="22" customFormat="false" ht="15" hidden="false" customHeight="false" outlineLevel="0" collapsed="false">
      <c r="A22" s="13" t="s">
        <v>1084</v>
      </c>
      <c r="B22" s="13" t="s">
        <v>1522</v>
      </c>
      <c r="C22" s="14" t="s">
        <v>1085</v>
      </c>
      <c r="D22" s="13"/>
      <c r="E22" s="15" t="n">
        <v>46295</v>
      </c>
    </row>
    <row r="23" customFormat="false" ht="15" hidden="false" customHeight="false" outlineLevel="0" collapsed="false">
      <c r="A23" s="13" t="s">
        <v>775</v>
      </c>
      <c r="B23" s="13" t="s">
        <v>1522</v>
      </c>
      <c r="C23" s="14" t="s">
        <v>776</v>
      </c>
      <c r="D23" s="13"/>
      <c r="E23" s="15" t="n">
        <v>46295</v>
      </c>
    </row>
    <row r="24" customFormat="false" ht="23.85" hidden="false" customHeight="false" outlineLevel="0" collapsed="false">
      <c r="A24" s="13" t="s">
        <v>254</v>
      </c>
      <c r="B24" s="13" t="s">
        <v>1522</v>
      </c>
      <c r="C24" s="14" t="s">
        <v>255</v>
      </c>
      <c r="D24" s="13" t="s">
        <v>1531</v>
      </c>
      <c r="E24" s="15" t="n">
        <v>46295</v>
      </c>
    </row>
    <row r="25" customFormat="false" ht="15" hidden="false" customHeight="false" outlineLevel="0" collapsed="false">
      <c r="A25" s="13" t="s">
        <v>1143</v>
      </c>
      <c r="B25" s="13" t="s">
        <v>1522</v>
      </c>
      <c r="C25" s="14" t="s">
        <v>1144</v>
      </c>
      <c r="D25" s="13" t="s">
        <v>1532</v>
      </c>
      <c r="E25" s="15" t="n">
        <v>46295</v>
      </c>
    </row>
    <row r="26" customFormat="false" ht="23.85" hidden="false" customHeight="false" outlineLevel="0" collapsed="false">
      <c r="A26" s="13" t="s">
        <v>769</v>
      </c>
      <c r="B26" s="13" t="s">
        <v>1522</v>
      </c>
      <c r="C26" s="14" t="s">
        <v>770</v>
      </c>
      <c r="D26" s="13" t="s">
        <v>1533</v>
      </c>
      <c r="E26" s="15" t="n">
        <v>46295</v>
      </c>
    </row>
    <row r="27" customFormat="false" ht="15" hidden="false" customHeight="false" outlineLevel="0" collapsed="false">
      <c r="A27" s="13" t="s">
        <v>1122</v>
      </c>
      <c r="B27" s="13" t="s">
        <v>1522</v>
      </c>
      <c r="C27" s="14" t="s">
        <v>1123</v>
      </c>
      <c r="D27" s="13"/>
      <c r="E27" s="15" t="n">
        <v>46295</v>
      </c>
    </row>
    <row r="28" customFormat="false" ht="15" hidden="false" customHeight="false" outlineLevel="0" collapsed="false">
      <c r="A28" s="13" t="s">
        <v>171</v>
      </c>
      <c r="B28" s="13" t="s">
        <v>1534</v>
      </c>
      <c r="C28" s="14" t="s">
        <v>172</v>
      </c>
      <c r="D28" s="13" t="s">
        <v>1535</v>
      </c>
      <c r="E28" s="15" t="n">
        <v>46295</v>
      </c>
    </row>
    <row r="29" customFormat="false" ht="15" hidden="false" customHeight="false" outlineLevel="0" collapsed="false">
      <c r="A29" s="13" t="s">
        <v>143</v>
      </c>
      <c r="B29" s="13" t="s">
        <v>1534</v>
      </c>
      <c r="C29" s="14" t="s">
        <v>144</v>
      </c>
      <c r="D29" s="13" t="s">
        <v>1536</v>
      </c>
      <c r="E29" s="15" t="n">
        <v>46295</v>
      </c>
    </row>
    <row r="30" customFormat="false" ht="15" hidden="false" customHeight="false" outlineLevel="0" collapsed="false">
      <c r="A30" s="13" t="s">
        <v>78</v>
      </c>
      <c r="B30" s="13" t="s">
        <v>1534</v>
      </c>
      <c r="C30" s="14" t="s">
        <v>79</v>
      </c>
      <c r="D30" s="13" t="s">
        <v>1537</v>
      </c>
      <c r="E30" s="15" t="n">
        <v>46295</v>
      </c>
    </row>
    <row r="31" customFormat="false" ht="15" hidden="false" customHeight="false" outlineLevel="0" collapsed="false">
      <c r="A31" s="13" t="s">
        <v>289</v>
      </c>
      <c r="B31" s="13" t="s">
        <v>1534</v>
      </c>
      <c r="C31" s="14" t="s">
        <v>290</v>
      </c>
      <c r="D31" s="13" t="s">
        <v>1538</v>
      </c>
      <c r="E31" s="15" t="n">
        <v>46295</v>
      </c>
    </row>
    <row r="32" customFormat="false" ht="15" hidden="false" customHeight="false" outlineLevel="0" collapsed="false">
      <c r="A32" s="13" t="s">
        <v>318</v>
      </c>
      <c r="B32" s="13" t="s">
        <v>1534</v>
      </c>
      <c r="C32" s="14" t="s">
        <v>319</v>
      </c>
      <c r="D32" s="13" t="s">
        <v>1539</v>
      </c>
      <c r="E32" s="15" t="n">
        <v>46295</v>
      </c>
    </row>
    <row r="33" customFormat="false" ht="15" hidden="false" customHeight="false" outlineLevel="0" collapsed="false">
      <c r="A33" s="13" t="s">
        <v>210</v>
      </c>
      <c r="B33" s="13" t="s">
        <v>1534</v>
      </c>
      <c r="C33" s="14" t="s">
        <v>211</v>
      </c>
      <c r="D33" s="13" t="s">
        <v>1540</v>
      </c>
      <c r="E33" s="15" t="n">
        <v>46295</v>
      </c>
    </row>
    <row r="34" customFormat="false" ht="23.85" hidden="false" customHeight="false" outlineLevel="0" collapsed="false">
      <c r="A34" s="13" t="s">
        <v>126</v>
      </c>
      <c r="B34" s="13" t="s">
        <v>1534</v>
      </c>
      <c r="C34" s="14" t="s">
        <v>127</v>
      </c>
      <c r="D34" s="13" t="s">
        <v>1541</v>
      </c>
      <c r="E34" s="15" t="n">
        <v>46295</v>
      </c>
    </row>
    <row r="35" customFormat="false" ht="15" hidden="false" customHeight="false" outlineLevel="0" collapsed="false">
      <c r="A35" s="13" t="s">
        <v>90</v>
      </c>
      <c r="B35" s="13" t="s">
        <v>1534</v>
      </c>
      <c r="C35" s="14" t="s">
        <v>91</v>
      </c>
      <c r="D35" s="13" t="s">
        <v>1542</v>
      </c>
      <c r="E35" s="15" t="n">
        <v>46295</v>
      </c>
    </row>
    <row r="36" customFormat="false" ht="23.85" hidden="false" customHeight="false" outlineLevel="0" collapsed="false">
      <c r="A36" s="13" t="s">
        <v>216</v>
      </c>
      <c r="B36" s="13" t="s">
        <v>1534</v>
      </c>
      <c r="C36" s="14" t="s">
        <v>217</v>
      </c>
      <c r="D36" s="13" t="s">
        <v>1543</v>
      </c>
      <c r="E36" s="15" t="n">
        <v>46295</v>
      </c>
    </row>
    <row r="37" customFormat="false" ht="15" hidden="false" customHeight="false" outlineLevel="0" collapsed="false">
      <c r="A37" s="13" t="s">
        <v>248</v>
      </c>
      <c r="B37" s="13" t="s">
        <v>1534</v>
      </c>
      <c r="C37" s="14" t="s">
        <v>249</v>
      </c>
      <c r="D37" s="13" t="s">
        <v>1544</v>
      </c>
      <c r="E37" s="15" t="n">
        <v>46295</v>
      </c>
    </row>
    <row r="38" customFormat="false" ht="15" hidden="false" customHeight="false" outlineLevel="0" collapsed="false">
      <c r="A38" s="13" t="s">
        <v>357</v>
      </c>
      <c r="B38" s="13" t="s">
        <v>1534</v>
      </c>
      <c r="C38" s="14" t="s">
        <v>358</v>
      </c>
      <c r="D38" s="13" t="s">
        <v>1545</v>
      </c>
      <c r="E38" s="15" t="n">
        <v>46295</v>
      </c>
    </row>
    <row r="39" customFormat="false" ht="15" hidden="false" customHeight="false" outlineLevel="0" collapsed="false">
      <c r="A39" s="13" t="s">
        <v>294</v>
      </c>
      <c r="B39" s="13" t="s">
        <v>1534</v>
      </c>
      <c r="C39" s="14" t="s">
        <v>295</v>
      </c>
      <c r="D39" s="13" t="s">
        <v>1546</v>
      </c>
      <c r="E39" s="15" t="n">
        <v>46295</v>
      </c>
    </row>
    <row r="40" customFormat="false" ht="23.85" hidden="false" customHeight="false" outlineLevel="0" collapsed="false">
      <c r="A40" s="13" t="s">
        <v>189</v>
      </c>
      <c r="B40" s="13" t="s">
        <v>1534</v>
      </c>
      <c r="C40" s="14" t="s">
        <v>190</v>
      </c>
      <c r="D40" s="13" t="s">
        <v>1547</v>
      </c>
      <c r="E40" s="15" t="n">
        <v>46295</v>
      </c>
    </row>
    <row r="41" customFormat="false" ht="23.85" hidden="false" customHeight="false" outlineLevel="0" collapsed="false">
      <c r="A41" s="13" t="s">
        <v>177</v>
      </c>
      <c r="B41" s="13" t="s">
        <v>1534</v>
      </c>
      <c r="C41" s="14" t="s">
        <v>178</v>
      </c>
      <c r="D41" s="13" t="s">
        <v>1548</v>
      </c>
      <c r="E41" s="15" t="n">
        <v>46295</v>
      </c>
    </row>
    <row r="42" customFormat="false" ht="15" hidden="false" customHeight="false" outlineLevel="0" collapsed="false">
      <c r="A42" s="13" t="s">
        <v>183</v>
      </c>
      <c r="B42" s="13" t="s">
        <v>1534</v>
      </c>
      <c r="C42" s="14" t="s">
        <v>184</v>
      </c>
      <c r="D42" s="13" t="s">
        <v>1549</v>
      </c>
      <c r="E42" s="15" t="n">
        <v>46295</v>
      </c>
    </row>
    <row r="43" customFormat="false" ht="23.85" hidden="false" customHeight="false" outlineLevel="0" collapsed="false">
      <c r="A43" s="13" t="s">
        <v>276</v>
      </c>
      <c r="B43" s="13" t="s">
        <v>1534</v>
      </c>
      <c r="C43" s="14" t="s">
        <v>277</v>
      </c>
      <c r="D43" s="13" t="s">
        <v>1550</v>
      </c>
      <c r="E43" s="15" t="n">
        <v>46295</v>
      </c>
    </row>
    <row r="44" customFormat="false" ht="15" hidden="false" customHeight="false" outlineLevel="0" collapsed="false">
      <c r="A44" s="13" t="s">
        <v>338</v>
      </c>
      <c r="B44" s="13" t="s">
        <v>1534</v>
      </c>
      <c r="C44" s="14" t="s">
        <v>339</v>
      </c>
      <c r="D44" s="13" t="s">
        <v>1551</v>
      </c>
      <c r="E44" s="15" t="n">
        <v>46295</v>
      </c>
    </row>
    <row r="45" customFormat="false" ht="23.85" hidden="false" customHeight="false" outlineLevel="0" collapsed="false">
      <c r="A45" s="13" t="s">
        <v>1041</v>
      </c>
      <c r="B45" s="13" t="s">
        <v>1534</v>
      </c>
      <c r="C45" s="14" t="s">
        <v>1042</v>
      </c>
      <c r="D45" s="13" t="s">
        <v>1552</v>
      </c>
      <c r="E45" s="15" t="n">
        <v>46295</v>
      </c>
    </row>
    <row r="46" customFormat="false" ht="15" hidden="false" customHeight="false" outlineLevel="0" collapsed="false">
      <c r="A46" s="13" t="s">
        <v>1200</v>
      </c>
      <c r="B46" s="13" t="s">
        <v>1534</v>
      </c>
      <c r="C46" s="14" t="s">
        <v>1201</v>
      </c>
      <c r="D46" s="13" t="s">
        <v>1553</v>
      </c>
      <c r="E46" s="15" t="n">
        <v>46295</v>
      </c>
    </row>
    <row r="47" customFormat="false" ht="15" hidden="false" customHeight="false" outlineLevel="0" collapsed="false">
      <c r="A47" s="13" t="s">
        <v>309</v>
      </c>
      <c r="B47" s="13" t="s">
        <v>1534</v>
      </c>
      <c r="C47" s="14" t="s">
        <v>310</v>
      </c>
      <c r="D47" s="13" t="s">
        <v>1554</v>
      </c>
      <c r="E47" s="15" t="n">
        <v>46295</v>
      </c>
    </row>
    <row r="48" customFormat="false" ht="15" hidden="false" customHeight="false" outlineLevel="0" collapsed="false">
      <c r="A48" s="13" t="s">
        <v>606</v>
      </c>
      <c r="B48" s="13" t="s">
        <v>1534</v>
      </c>
      <c r="C48" s="14" t="s">
        <v>607</v>
      </c>
      <c r="D48" s="13" t="s">
        <v>1555</v>
      </c>
      <c r="E48" s="15" t="n">
        <v>46295</v>
      </c>
    </row>
    <row r="49" customFormat="false" ht="15" hidden="false" customHeight="false" outlineLevel="0" collapsed="false">
      <c r="A49" s="13" t="s">
        <v>421</v>
      </c>
      <c r="B49" s="13" t="s">
        <v>1534</v>
      </c>
      <c r="C49" s="14" t="s">
        <v>422</v>
      </c>
      <c r="D49" s="13" t="s">
        <v>1556</v>
      </c>
      <c r="E49" s="15" t="n">
        <v>46295</v>
      </c>
    </row>
    <row r="50" customFormat="false" ht="15" hidden="false" customHeight="false" outlineLevel="0" collapsed="false">
      <c r="A50" s="13" t="s">
        <v>464</v>
      </c>
      <c r="B50" s="13" t="s">
        <v>1534</v>
      </c>
      <c r="C50" s="14" t="s">
        <v>465</v>
      </c>
      <c r="D50" s="13" t="s">
        <v>1557</v>
      </c>
      <c r="E50" s="15" t="n">
        <v>46295</v>
      </c>
    </row>
    <row r="51" customFormat="false" ht="23.85" hidden="false" customHeight="false" outlineLevel="0" collapsed="false">
      <c r="A51" s="13" t="s">
        <v>897</v>
      </c>
      <c r="B51" s="13" t="s">
        <v>1534</v>
      </c>
      <c r="C51" s="14" t="s">
        <v>898</v>
      </c>
      <c r="D51" s="13" t="s">
        <v>1558</v>
      </c>
      <c r="E51" s="15" t="n">
        <v>46295</v>
      </c>
    </row>
    <row r="52" customFormat="false" ht="15" hidden="false" customHeight="false" outlineLevel="0" collapsed="false">
      <c r="A52" s="13" t="s">
        <v>902</v>
      </c>
      <c r="B52" s="13" t="s">
        <v>1534</v>
      </c>
      <c r="C52" s="14" t="s">
        <v>903</v>
      </c>
      <c r="D52" s="13" t="s">
        <v>1558</v>
      </c>
      <c r="E52" s="15" t="n">
        <v>46295</v>
      </c>
    </row>
    <row r="53" customFormat="false" ht="15" hidden="false" customHeight="false" outlineLevel="0" collapsed="false">
      <c r="A53" s="13" t="s">
        <v>600</v>
      </c>
      <c r="B53" s="13" t="s">
        <v>1534</v>
      </c>
      <c r="C53" s="14" t="s">
        <v>601</v>
      </c>
      <c r="D53" s="13" t="s">
        <v>1559</v>
      </c>
      <c r="E53" s="15" t="n">
        <v>46295</v>
      </c>
    </row>
    <row r="54" customFormat="false" ht="23.85" hidden="false" customHeight="false" outlineLevel="0" collapsed="false">
      <c r="A54" s="13" t="s">
        <v>458</v>
      </c>
      <c r="B54" s="13" t="s">
        <v>1534</v>
      </c>
      <c r="C54" s="14" t="s">
        <v>459</v>
      </c>
      <c r="D54" s="13" t="s">
        <v>1546</v>
      </c>
      <c r="E54" s="15" t="n">
        <v>46295</v>
      </c>
    </row>
    <row r="55" customFormat="false" ht="15" hidden="false" customHeight="false" outlineLevel="0" collapsed="false">
      <c r="A55" s="13" t="s">
        <v>437</v>
      </c>
      <c r="B55" s="13" t="s">
        <v>1534</v>
      </c>
      <c r="C55" s="14" t="s">
        <v>438</v>
      </c>
      <c r="D55" s="13" t="s">
        <v>1560</v>
      </c>
      <c r="E55" s="15" t="n">
        <v>46295</v>
      </c>
    </row>
    <row r="56" customFormat="false" ht="15" hidden="false" customHeight="false" outlineLevel="0" collapsed="false">
      <c r="A56" s="13" t="s">
        <v>470</v>
      </c>
      <c r="B56" s="13" t="s">
        <v>1534</v>
      </c>
      <c r="C56" s="14" t="s">
        <v>471</v>
      </c>
      <c r="D56" s="13" t="s">
        <v>1561</v>
      </c>
      <c r="E56" s="15" t="n">
        <v>46295</v>
      </c>
    </row>
    <row r="57" customFormat="false" ht="15" hidden="false" customHeight="false" outlineLevel="0" collapsed="false">
      <c r="A57" s="13" t="s">
        <v>1007</v>
      </c>
      <c r="B57" s="13" t="s">
        <v>1534</v>
      </c>
      <c r="C57" s="14" t="s">
        <v>1008</v>
      </c>
      <c r="D57" s="13" t="s">
        <v>1562</v>
      </c>
      <c r="E57" s="15" t="n">
        <v>46295</v>
      </c>
    </row>
    <row r="58" customFormat="false" ht="15" hidden="false" customHeight="false" outlineLevel="0" collapsed="false">
      <c r="A58" s="13" t="s">
        <v>499</v>
      </c>
      <c r="B58" s="13" t="s">
        <v>1534</v>
      </c>
      <c r="C58" s="14" t="s">
        <v>500</v>
      </c>
      <c r="D58" s="13" t="s">
        <v>1563</v>
      </c>
      <c r="E58" s="15" t="n">
        <v>46295</v>
      </c>
    </row>
    <row r="59" customFormat="false" ht="15" hidden="false" customHeight="false" outlineLevel="0" collapsed="false">
      <c r="A59" s="13" t="s">
        <v>829</v>
      </c>
      <c r="B59" s="13" t="s">
        <v>1534</v>
      </c>
      <c r="C59" s="14" t="s">
        <v>830</v>
      </c>
      <c r="D59" s="13" t="s">
        <v>1564</v>
      </c>
      <c r="E59" s="15" t="n">
        <v>46295</v>
      </c>
    </row>
    <row r="60" customFormat="false" ht="23.85" hidden="false" customHeight="false" outlineLevel="0" collapsed="false">
      <c r="A60" s="13" t="s">
        <v>480</v>
      </c>
      <c r="B60" s="13" t="s">
        <v>1534</v>
      </c>
      <c r="C60" s="14" t="s">
        <v>481</v>
      </c>
      <c r="D60" s="13" t="s">
        <v>1543</v>
      </c>
      <c r="E60" s="15" t="n">
        <v>46295</v>
      </c>
    </row>
    <row r="61" customFormat="false" ht="15" hidden="false" customHeight="false" outlineLevel="0" collapsed="false">
      <c r="A61" s="13" t="s">
        <v>103</v>
      </c>
      <c r="B61" s="13" t="s">
        <v>1534</v>
      </c>
      <c r="C61" s="14" t="s">
        <v>104</v>
      </c>
      <c r="D61" s="13" t="s">
        <v>1565</v>
      </c>
      <c r="E61" s="15" t="n">
        <v>46295</v>
      </c>
    </row>
    <row r="62" customFormat="false" ht="15" hidden="false" customHeight="false" outlineLevel="0" collapsed="false">
      <c r="A62" s="13" t="s">
        <v>562</v>
      </c>
      <c r="B62" s="13" t="s">
        <v>1534</v>
      </c>
      <c r="C62" s="14" t="s">
        <v>563</v>
      </c>
      <c r="D62" s="13" t="s">
        <v>1566</v>
      </c>
      <c r="E62" s="15" t="n">
        <v>46295</v>
      </c>
    </row>
    <row r="63" customFormat="false" ht="15" hidden="false" customHeight="false" outlineLevel="0" collapsed="false">
      <c r="A63" s="13" t="s">
        <v>372</v>
      </c>
      <c r="B63" s="13" t="s">
        <v>1534</v>
      </c>
      <c r="C63" s="14" t="s">
        <v>373</v>
      </c>
      <c r="D63" s="13" t="s">
        <v>1543</v>
      </c>
      <c r="E63" s="15" t="n">
        <v>46295</v>
      </c>
    </row>
    <row r="64" customFormat="false" ht="15" hidden="false" customHeight="false" outlineLevel="0" collapsed="false">
      <c r="A64" s="13" t="s">
        <v>549</v>
      </c>
      <c r="B64" s="13" t="s">
        <v>1534</v>
      </c>
      <c r="C64" s="14" t="s">
        <v>550</v>
      </c>
      <c r="D64" s="13" t="s">
        <v>1567</v>
      </c>
      <c r="E64" s="15" t="n">
        <v>46295</v>
      </c>
    </row>
    <row r="65" customFormat="false" ht="23.85" hidden="false" customHeight="false" outlineLevel="0" collapsed="false">
      <c r="A65" s="13" t="s">
        <v>534</v>
      </c>
      <c r="B65" s="13" t="s">
        <v>1534</v>
      </c>
      <c r="C65" s="14" t="s">
        <v>535</v>
      </c>
      <c r="D65" s="13" t="s">
        <v>1568</v>
      </c>
      <c r="E65" s="15" t="n">
        <v>46295</v>
      </c>
    </row>
    <row r="66" customFormat="false" ht="23.85" hidden="false" customHeight="false" outlineLevel="0" collapsed="false">
      <c r="A66" s="13" t="s">
        <v>557</v>
      </c>
      <c r="B66" s="13" t="s">
        <v>1534</v>
      </c>
      <c r="C66" s="14" t="s">
        <v>558</v>
      </c>
      <c r="D66" s="13" t="s">
        <v>1569</v>
      </c>
      <c r="E66" s="15" t="n">
        <v>46295</v>
      </c>
    </row>
    <row r="67" customFormat="false" ht="15" hidden="false" customHeight="false" outlineLevel="0" collapsed="false">
      <c r="A67" s="13" t="s">
        <v>588</v>
      </c>
      <c r="B67" s="13" t="s">
        <v>1570</v>
      </c>
      <c r="C67" s="14" t="s">
        <v>589</v>
      </c>
      <c r="D67" s="13" t="s">
        <v>1571</v>
      </c>
      <c r="E67" s="15" t="n">
        <v>46295</v>
      </c>
    </row>
    <row r="68" customFormat="false" ht="15" hidden="false" customHeight="false" outlineLevel="0" collapsed="false">
      <c r="A68" s="13" t="s">
        <v>383</v>
      </c>
      <c r="B68" s="13" t="s">
        <v>1570</v>
      </c>
      <c r="C68" s="14" t="s">
        <v>384</v>
      </c>
      <c r="D68" s="13" t="s">
        <v>1572</v>
      </c>
      <c r="E68" s="15" t="n">
        <v>46295</v>
      </c>
    </row>
    <row r="69" customFormat="false" ht="15" hidden="false" customHeight="false" outlineLevel="0" collapsed="false">
      <c r="A69" s="13" t="s">
        <v>1035</v>
      </c>
      <c r="B69" s="13" t="s">
        <v>1570</v>
      </c>
      <c r="C69" s="14" t="s">
        <v>1036</v>
      </c>
      <c r="D69" s="13" t="s">
        <v>1573</v>
      </c>
      <c r="E69" s="15" t="n">
        <v>46295</v>
      </c>
    </row>
    <row r="70" customFormat="false" ht="15" hidden="false" customHeight="false" outlineLevel="0" collapsed="false">
      <c r="A70" s="13" t="s">
        <v>684</v>
      </c>
      <c r="B70" s="13" t="s">
        <v>1570</v>
      </c>
      <c r="C70" s="14" t="s">
        <v>685</v>
      </c>
      <c r="D70" s="13" t="s">
        <v>1574</v>
      </c>
      <c r="E70" s="15" t="n">
        <v>46295</v>
      </c>
    </row>
    <row r="71" customFormat="false" ht="15" hidden="false" customHeight="false" outlineLevel="0" collapsed="false">
      <c r="A71" s="13" t="s">
        <v>639</v>
      </c>
      <c r="B71" s="13" t="s">
        <v>1570</v>
      </c>
      <c r="C71" s="14" t="s">
        <v>640</v>
      </c>
      <c r="D71" s="13" t="s">
        <v>1575</v>
      </c>
      <c r="E71" s="15" t="n">
        <v>46295</v>
      </c>
    </row>
    <row r="72" customFormat="false" ht="15" hidden="false" customHeight="false" outlineLevel="0" collapsed="false">
      <c r="A72" s="13" t="s">
        <v>1126</v>
      </c>
      <c r="B72" s="13" t="s">
        <v>1570</v>
      </c>
      <c r="C72" s="14" t="s">
        <v>1127</v>
      </c>
      <c r="D72" s="13" t="s">
        <v>1576</v>
      </c>
      <c r="E72" s="15" t="n">
        <v>46295</v>
      </c>
    </row>
    <row r="73" customFormat="false" ht="15" hidden="false" customHeight="false" outlineLevel="0" collapsed="false">
      <c r="A73" s="13" t="s">
        <v>633</v>
      </c>
      <c r="B73" s="13" t="s">
        <v>1570</v>
      </c>
      <c r="C73" s="14" t="s">
        <v>634</v>
      </c>
      <c r="D73" s="13" t="s">
        <v>1577</v>
      </c>
      <c r="E73" s="15" t="n">
        <v>46295</v>
      </c>
    </row>
    <row r="74" customFormat="false" ht="15" hidden="false" customHeight="false" outlineLevel="0" collapsed="false">
      <c r="A74" s="13" t="s">
        <v>627</v>
      </c>
      <c r="B74" s="13" t="s">
        <v>1570</v>
      </c>
      <c r="C74" s="14" t="s">
        <v>628</v>
      </c>
      <c r="D74" s="13" t="s">
        <v>1578</v>
      </c>
      <c r="E74" s="15" t="n">
        <v>46295</v>
      </c>
    </row>
    <row r="75" customFormat="false" ht="15" hidden="false" customHeight="false" outlineLevel="0" collapsed="false">
      <c r="A75" s="13" t="s">
        <v>691</v>
      </c>
      <c r="B75" s="13" t="s">
        <v>1570</v>
      </c>
      <c r="C75" s="14" t="s">
        <v>692</v>
      </c>
      <c r="D75" s="13" t="s">
        <v>1579</v>
      </c>
      <c r="E75" s="15" t="n">
        <v>46295</v>
      </c>
    </row>
    <row r="76" customFormat="false" ht="15" hidden="false" customHeight="false" outlineLevel="0" collapsed="false">
      <c r="A76" s="13" t="s">
        <v>1070</v>
      </c>
      <c r="B76" s="13" t="s">
        <v>1570</v>
      </c>
      <c r="C76" s="14" t="s">
        <v>1071</v>
      </c>
      <c r="D76" s="13" t="s">
        <v>1580</v>
      </c>
      <c r="E76" s="15" t="n">
        <v>46295</v>
      </c>
    </row>
    <row r="77" customFormat="false" ht="15" hidden="false" customHeight="false" outlineLevel="0" collapsed="false">
      <c r="A77" s="13" t="s">
        <v>1056</v>
      </c>
      <c r="B77" s="13" t="s">
        <v>1570</v>
      </c>
      <c r="C77" s="14" t="s">
        <v>1057</v>
      </c>
      <c r="D77" s="13" t="s">
        <v>1581</v>
      </c>
      <c r="E77" s="15" t="n">
        <v>46295</v>
      </c>
    </row>
    <row r="78" customFormat="false" ht="23.85" hidden="false" customHeight="false" outlineLevel="0" collapsed="false">
      <c r="A78" s="13" t="s">
        <v>1114</v>
      </c>
      <c r="B78" s="13" t="s">
        <v>1570</v>
      </c>
      <c r="C78" s="14" t="s">
        <v>1115</v>
      </c>
      <c r="D78" s="13" t="s">
        <v>1582</v>
      </c>
      <c r="E78" s="15" t="n">
        <v>46295</v>
      </c>
    </row>
    <row r="79" customFormat="false" ht="15" hidden="false" customHeight="false" outlineLevel="0" collapsed="false">
      <c r="A79" s="13" t="s">
        <v>664</v>
      </c>
      <c r="B79" s="13" t="s">
        <v>1570</v>
      </c>
      <c r="C79" s="14" t="s">
        <v>665</v>
      </c>
      <c r="D79" s="13"/>
      <c r="E79" s="15" t="n">
        <v>46295</v>
      </c>
    </row>
    <row r="80" customFormat="false" ht="15" hidden="false" customHeight="false" outlineLevel="0" collapsed="false">
      <c r="A80" s="13" t="s">
        <v>1194</v>
      </c>
      <c r="B80" s="13" t="s">
        <v>1570</v>
      </c>
      <c r="C80" s="14" t="s">
        <v>1195</v>
      </c>
      <c r="D80" s="13" t="s">
        <v>1583</v>
      </c>
      <c r="E80" s="15" t="n">
        <v>46295</v>
      </c>
    </row>
    <row r="81" customFormat="false" ht="15" hidden="false" customHeight="false" outlineLevel="0" collapsed="false">
      <c r="A81" s="13" t="s">
        <v>972</v>
      </c>
      <c r="B81" s="13" t="s">
        <v>1570</v>
      </c>
      <c r="C81" s="14" t="s">
        <v>973</v>
      </c>
      <c r="D81" s="13"/>
      <c r="E81" s="15" t="n">
        <v>46295</v>
      </c>
    </row>
    <row r="82" customFormat="false" ht="15" hidden="false" customHeight="false" outlineLevel="0" collapsed="false">
      <c r="A82" s="13" t="s">
        <v>1227</v>
      </c>
      <c r="B82" s="13" t="s">
        <v>1570</v>
      </c>
      <c r="C82" s="14" t="s">
        <v>1228</v>
      </c>
      <c r="D82" s="13"/>
      <c r="E82" s="15" t="n">
        <v>46295</v>
      </c>
    </row>
    <row r="83" customFormat="false" ht="15" hidden="false" customHeight="false" outlineLevel="0" collapsed="false">
      <c r="A83" s="13" t="s">
        <v>1135</v>
      </c>
      <c r="B83" s="13" t="s">
        <v>1570</v>
      </c>
      <c r="C83" s="14" t="s">
        <v>1136</v>
      </c>
      <c r="D83" s="13"/>
      <c r="E83" s="15" t="n">
        <v>46295</v>
      </c>
    </row>
    <row r="84" customFormat="false" ht="15" hidden="false" customHeight="false" outlineLevel="0" collapsed="false">
      <c r="A84" s="13" t="s">
        <v>573</v>
      </c>
      <c r="B84" s="13" t="s">
        <v>1570</v>
      </c>
      <c r="C84" s="14" t="s">
        <v>574</v>
      </c>
      <c r="D84" s="13" t="s">
        <v>1584</v>
      </c>
      <c r="E84" s="15" t="n">
        <v>46295</v>
      </c>
    </row>
    <row r="85" customFormat="false" ht="15" hidden="false" customHeight="false" outlineLevel="0" collapsed="false">
      <c r="A85" s="13" t="s">
        <v>1189</v>
      </c>
      <c r="B85" s="13" t="s">
        <v>1570</v>
      </c>
      <c r="C85" s="14" t="s">
        <v>1190</v>
      </c>
      <c r="D85" s="13" t="s">
        <v>1585</v>
      </c>
      <c r="E85" s="15" t="n">
        <v>46295</v>
      </c>
    </row>
    <row r="86" customFormat="false" ht="15" hidden="false" customHeight="false" outlineLevel="0" collapsed="false">
      <c r="A86" s="13" t="s">
        <v>1014</v>
      </c>
      <c r="B86" s="13" t="s">
        <v>1570</v>
      </c>
      <c r="C86" s="14" t="s">
        <v>1015</v>
      </c>
      <c r="D86" s="13"/>
      <c r="E86" s="15" t="n">
        <v>46295</v>
      </c>
    </row>
    <row r="87" customFormat="false" ht="15" hidden="false" customHeight="false" outlineLevel="0" collapsed="false">
      <c r="A87" s="13" t="s">
        <v>1177</v>
      </c>
      <c r="B87" s="13" t="s">
        <v>1570</v>
      </c>
      <c r="C87" s="14" t="s">
        <v>1178</v>
      </c>
      <c r="D87" s="13" t="s">
        <v>1586</v>
      </c>
      <c r="E87" s="15" t="n">
        <v>46295</v>
      </c>
    </row>
    <row r="88" customFormat="false" ht="15" hidden="false" customHeight="false" outlineLevel="0" collapsed="false">
      <c r="A88" s="13" t="s">
        <v>993</v>
      </c>
      <c r="B88" s="13" t="s">
        <v>1570</v>
      </c>
      <c r="C88" s="14" t="s">
        <v>994</v>
      </c>
      <c r="D88" s="13"/>
      <c r="E88" s="15" t="n">
        <v>46295</v>
      </c>
    </row>
    <row r="89" customFormat="false" ht="15" hidden="false" customHeight="false" outlineLevel="0" collapsed="false">
      <c r="A89" s="13" t="s">
        <v>1089</v>
      </c>
      <c r="B89" s="13" t="s">
        <v>1570</v>
      </c>
      <c r="C89" s="14" t="s">
        <v>1090</v>
      </c>
      <c r="D89" s="13" t="s">
        <v>1587</v>
      </c>
      <c r="E89" s="15" t="n">
        <v>46295</v>
      </c>
    </row>
    <row r="90" customFormat="false" ht="15" hidden="false" customHeight="false" outlineLevel="0" collapsed="false">
      <c r="A90" s="13" t="s">
        <v>913</v>
      </c>
      <c r="B90" s="13" t="s">
        <v>1570</v>
      </c>
      <c r="C90" s="14" t="s">
        <v>914</v>
      </c>
      <c r="D90" s="13" t="s">
        <v>1588</v>
      </c>
      <c r="E90" s="15" t="n">
        <v>46295</v>
      </c>
    </row>
    <row r="91" customFormat="false" ht="15" hidden="false" customHeight="false" outlineLevel="0" collapsed="false">
      <c r="A91" s="13" t="s">
        <v>1171</v>
      </c>
      <c r="B91" s="13" t="s">
        <v>1570</v>
      </c>
      <c r="C91" s="14" t="s">
        <v>1172</v>
      </c>
      <c r="D91" s="13" t="s">
        <v>1589</v>
      </c>
      <c r="E91" s="15" t="n">
        <v>46295</v>
      </c>
    </row>
    <row r="92" customFormat="false" ht="15" hidden="false" customHeight="false" outlineLevel="0" collapsed="false">
      <c r="A92" s="13" t="s">
        <v>1095</v>
      </c>
      <c r="B92" s="13" t="s">
        <v>1570</v>
      </c>
      <c r="C92" s="14" t="s">
        <v>1096</v>
      </c>
      <c r="D92" s="13" t="s">
        <v>1590</v>
      </c>
      <c r="E92" s="15" t="n">
        <v>46295</v>
      </c>
    </row>
    <row r="93" customFormat="false" ht="15" hidden="false" customHeight="false" outlineLevel="0" collapsed="false">
      <c r="A93" s="13" t="s">
        <v>443</v>
      </c>
      <c r="B93" s="13" t="s">
        <v>1570</v>
      </c>
      <c r="C93" s="14" t="s">
        <v>444</v>
      </c>
      <c r="D93" s="13" t="s">
        <v>1591</v>
      </c>
      <c r="E93" s="15" t="n">
        <v>46295</v>
      </c>
    </row>
    <row r="94" customFormat="false" ht="15" hidden="false" customHeight="false" outlineLevel="0" collapsed="false">
      <c r="A94" s="13" t="s">
        <v>1029</v>
      </c>
      <c r="B94" s="13" t="s">
        <v>1570</v>
      </c>
      <c r="C94" s="14" t="s">
        <v>1030</v>
      </c>
      <c r="D94" s="13" t="s">
        <v>1592</v>
      </c>
      <c r="E94" s="15" t="n">
        <v>46295</v>
      </c>
    </row>
    <row r="95" customFormat="false" ht="15" hidden="false" customHeight="false" outlineLevel="0" collapsed="false">
      <c r="A95" s="13" t="s">
        <v>1182</v>
      </c>
      <c r="B95" s="13" t="s">
        <v>1570</v>
      </c>
      <c r="C95" s="14" t="s">
        <v>1183</v>
      </c>
      <c r="D95" s="13" t="s">
        <v>1593</v>
      </c>
      <c r="E95" s="15" t="n">
        <v>46295</v>
      </c>
    </row>
  </sheetData>
  <autoFilter ref="A1:E95"/>
  <hyperlinks>
    <hyperlink ref="C2" r:id="rId1" display="https://www.geico.com/save/discounts/defensive-driver-discounts/"/>
    <hyperlink ref="C3" r:id="rId2" display="https://www.statefarm.com/insurance/auto/discounts"/>
    <hyperlink ref="C4" r:id="rId3" display="https://insurify.com/car-insurance/report/"/>
    <hyperlink ref="C5" r:id="rId4" display="https://insurify.com/homeowners-insurance/insights/rates-increase-first-half-2026/"/>
    <hyperlink ref="C6" r:id="rId5" display="https://insurify.com/car-insurance/coverage/telematics/"/>
    <hyperlink ref="C7" r:id="rId6" display="https://www.thezebra.com/resources/research/car-insurance-rating-factors-by-state/"/>
    <hyperlink ref="C8" r:id="rId7" display="https://www.autoinsurance.org/car-insurance-requirements/"/>
    <hyperlink ref="C9" r:id="rId8" display="https://www.bankrate.com/insurance/car/are-telematics-programs-worth-the-discount/"/>
    <hyperlink ref="C10" r:id="rId9" display="https://www.cnbc.com/2026/04/26/insurance-rates-credit-history.html"/>
    <hyperlink ref="C11" r:id="rId10" display="https://www.cnbc.com/select/state-minimum-car-insurance-requirements/"/>
    <hyperlink ref="C12" r:id="rId11" display="https://www.carinsurance.com/Articles/minimum-liability-car-insurance-requirements-by-state.aspx"/>
    <hyperlink ref="C13" r:id="rId12" display="https://www.experian.com/blogs/ask-experian/average-cost-car-insurance/"/>
    <hyperlink ref="C14" r:id="rId13" display="https://www.experian.com/blogs/ask-experian/which-states-prohibit-or-restrict-the-use-of-credit-based-insurance-scores/"/>
    <hyperlink ref="C15" r:id="rId14" display="https://www.insurance.com/auto-insurance/car-insurance-discounts.html"/>
    <hyperlink ref="C16" r:id="rId15" display="https://insurancenewsnet.com/oarticle/california-fair-plan-rates-going-up-29-1-in-late-2026"/>
    <hyperlink ref="C17" r:id="rId16" display="https://www.kqed.org/news/12094860/california-fair-plan-announces-29-1-rate-hike-for-homeowners-this-fall"/>
    <hyperlink ref="C18" r:id="rId17" display="https://www.kiplinger.com/personal-finance/insurance/umbrella-insurance/603237/how-much-umbrella-insurance-do-i-need"/>
    <hyperlink ref="C19" r:id="rId18" display="https://www.moneygeek.com/insurance/auto/defensive-driver-courses/"/>
    <hyperlink ref="C20" r:id="rId19" display="https://www.moneygeek.com/insurance/auto/which-insurance-companies-dont-check-credit-score/"/>
    <hyperlink ref="C21" r:id="rId20" display="https://www.nerdwallet.com/insurance/homeowners/learn/average-homeowners-insurance-cost"/>
    <hyperlink ref="C22" r:id="rId21" display="https://www.nerdwallet.com/insurance/homeowners/learn/umbrella-insurance"/>
    <hyperlink ref="C23" r:id="rId22" display="https://www.newsweek.com/where-your-credit-score-can-cant-raise-insurance-costs-11885672"/>
    <hyperlink ref="C24" r:id="rId23" display="https://media.rff.org/documents/WP_25-30.pdf"/>
    <hyperlink ref="C25" r:id="rId24" display="https://www.usnews.com/insurance/auto/average-cost-of-car-insurance"/>
    <hyperlink ref="C26" r:id="rId25" display="https://uphelp.org/should-states-ban-credit-based-insurance-scoring/"/>
    <hyperlink ref="C27" r:id="rId26" display="https://www.valuepenguin.com/state-of-auto-insurance-2026"/>
    <hyperlink ref="C28" r:id="rId27" display="https://www.law.cornell.edu/regulations/california/10-CCR-2632.12"/>
    <hyperlink ref="C29" r:id="rId28" display="https://www.law.cornell.edu/regulations/california/10-CCR-2632.5"/>
    <hyperlink ref="C30" r:id="rId29" display="https://www.dmv.ca.gov/portal/vehicle-registration/insurance-requirements/"/>
    <hyperlink ref="C31" r:id="rId30" display="https://www.insurance.ca.gov/01-consumers/105-type/95-guides/03-res/eq-ins.cfm"/>
    <hyperlink ref="C32" r:id="rId31" display="https://www.insurance.ca.gov/01-consumers/140-catastrophes/FloodFacts.cfm"/>
    <hyperlink ref="C33" r:id="rId32" display="https://www.insurance.ca.gov/01-consumers/105-type/95-guides/upload/Homeowners-Insurance-Updated-121924.pdf"/>
    <hyperlink ref="C34" r:id="rId33" display="https://www.insurance.ca.gov/01-consumers/105-type/95-guides/01-auto/auto101.cfm"/>
    <hyperlink ref="C35" r:id="rId34" display="https://www.insurance.ca.gov/0400-news/0102-alerts/2024/California-s-Low-Cost-Auto-Insurance.cfm"/>
    <hyperlink ref="C36" r:id="rId35" display="https://www.insurance.ca.gov/01-consumers/105-type/95-guides/03-res/res-ins-guide.cfm"/>
    <hyperlink ref="C37" r:id="rId36" display="https://www.insurance.ca.gov/01-consumers/200-wrr/Safer-from-Wildfires.cfm"/>
    <hyperlink ref="C38" r:id="rId37" display="https://www.insurance.ca.gov/01-consumers/180-climate-change/SustainableInsuranceStrategy.cfm"/>
    <hyperlink ref="C39" r:id="rId38" display="https://law.justia.com/codes/california/code-ins/division-2/part-1/chapter-8-5/section-10083/"/>
    <hyperlink ref="C40" r:id="rId39" display="https://codes.findlaw.com/ca/insurance-code/ins-sect-11628-3/"/>
    <hyperlink ref="C41" r:id="rId40" display="https://law.justia.com/codes/california/code-ins/division-1/part-2/chapter-9/article-10/section-1861-025/"/>
    <hyperlink ref="C42" r:id="rId41" display="https://www.insurance.ca.gov/0250-insurers/0300-insurers/0200-bulletins/bulletin-notices-commiss-opinion/upload/Advisory-Notice-2005-02.pdf"/>
    <hyperlink ref="C43" r:id="rId42" display="https://www.insurance.ca.gov/0400-news/0100-press-releases/2025/release079-2025.cfm"/>
    <hyperlink ref="C44" r:id="rId43" display="https://www.insurance.ca.gov/0400-news/0100-press-releases/2019/release089-19.cfm"/>
    <hyperlink ref="C45" r:id="rId44" display="https://www.congress.gov/crs-product/R49353"/>
    <hyperlink ref="C46" r:id="rId45" display="https://www.congress.gov/crs-product/IN10835"/>
    <hyperlink ref="C47" r:id="rId46" display="https://www.earthquakeauthority.com/california-earthquake-insurance-policies/homeowners"/>
    <hyperlink ref="C48" r:id="rId47" display="https://www.myfloridacfo.com/division/consumers/consumerprotections/floridashurricanedeductible"/>
    <hyperlink ref="C49" r:id="rId48" display="https://www.flhsmv.gov/insurance/"/>
    <hyperlink ref="C50" r:id="rId49" display="https://www.flsenate.gov/Laws/Statutes/2025/0626.9741"/>
    <hyperlink ref="C51" r:id="rId50" display="https://flsenate.gov/Laws/Statutes/2003/627.06501"/>
    <hyperlink ref="C52" r:id="rId51" display="https://www.flsenate.gov/laws/statutes/2012/627.0652"/>
    <hyperlink ref="C53" r:id="rId52" display="https://codes.findlaw.com/fl/title-xxxvii-insurance/fl-st-sect-627-701/"/>
    <hyperlink ref="C54" r:id="rId53" display="https://law.justia.com/codes/florida/title-xxxvii/chapter-627/part-xi/section-627-728/"/>
    <hyperlink ref="C55" r:id="rId54" display="https://www.flsenate.gov/Laws/Statutes/2022/Chapter324/All"/>
    <hyperlink ref="C56" r:id="rId55" display="https://www.flsenate.gov/Laws/Statutes/2025/Chapter627/All"/>
    <hyperlink ref="C57" r:id="rId56" display="https://content.naic.org/sites/default/files/consumer-auto-shopping-tool.pdf"/>
    <hyperlink ref="C58" r:id="rId57" display="https://www.dfs.ny.gov/faqs/consumer-auto/how-much-auto-insurance-must-i-carry"/>
    <hyperlink ref="C59" r:id="rId58" display="https://www.dfs.ny.gov/consumers/auto_insurance/discounts_list"/>
    <hyperlink ref="C60" r:id="rId59" display="https://www.dfs.ny.gov/consumers/auto_insurance/Auto_resource_center"/>
    <hyperlink ref="C61" r:id="rId60" display="https://leginfo.legislature.ca.gov/faces/billNavClient.xhtml?bill_id=202120220SB1107"/>
    <hyperlink ref="C62" r:id="rId61" display="https://www.twia.org/flood-requirement/"/>
    <hyperlink ref="C63" r:id="rId62" display="https://www.tdi.texas.gov/pubs/consumer/cb020.html"/>
    <hyperlink ref="C64" r:id="rId63" display="https://tdi.texas.gov/blog/category/home-property.html"/>
    <hyperlink ref="C65" r:id="rId64" display="https://www.tdi.texas.gov/pubs/consumer/cb025.html"/>
    <hyperlink ref="C66" r:id="rId65" display="https://www.tdi.texas.gov/general/texas-homeowners-insurance-market-overview.html"/>
    <hyperlink ref="C67" r:id="rId66" display="https://aegivra.com/guides/texas-homeowners-insurance-guide"/>
    <hyperlink ref="C68" r:id="rId67" display="https://www.ashmorelaw.com/blog/car-insurance-do-you-have-enough-.cfm"/>
    <hyperlink ref="C69" r:id="rId68" display="https://atesariskadvisors.com/blog/florida-private-flood-insurance-vs-nfip-2026"/>
    <hyperlink ref="C70" r:id="rId69" display="https://beachinsurancellc.com/blog/state-minimum-car-insurance-requirements-for-2026-your-essential-guide"/>
    <hyperlink ref="C71" r:id="rId70" display="https://www.cigflorida.com/policy-updates-for-florida-homeowners/"/>
    <hyperlink ref="C72" r:id="rId71" display="https://cincoautoinsurance.com/auto-insurance/cost/"/>
    <hyperlink ref="C73" r:id="rId72" display="https://coverageclassroom.com/learn/citizens-flood-insurance-requirement"/>
    <hyperlink ref="C74" r:id="rId73" display="https://coverageclassroom.com/learn/hurricane-insurance-florida-guide"/>
    <hyperlink ref="C75" r:id="rId74" display="https://coveragecriteria.com/articles/minimum-auto-insurance-by-state"/>
    <hyperlink ref="C76" r:id="rId75" display="https://www.earthquakenearme.com/en/blog/earthquake-insurance-california"/>
    <hyperlink ref="C77" r:id="rId76" display="https://expressfinancial.net/p/earthquake-insurance-california"/>
    <hyperlink ref="C78" r:id="rId77" display="https://insurtool.com/tools/average-car-insurance-cost/"/>
    <hyperlink ref="C79" r:id="rId78" display="https://www.insurancegeek.com/auto-insurance/state-minimum-car-insurance-limits/"/>
    <hyperlink ref="C80" r:id="rId79" display="https://www.getinsureleads.com/blog/fcc-one-to-one-consent-rule-status-update-2026"/>
    <hyperlink ref="C81" r:id="rId80" display="https://www.insuremojo.com/telematics-insurance-discount-programs/"/>
    <hyperlink ref="C82" r:id="rId81" display="https://www.insuremojo.com/telematics-insurance-data-privacy-bills-2026/"/>
    <hyperlink ref="C83" r:id="rId82" display="https://www.insuredbetter.com/car-insurance/compare-auto-coverage/rate-cost/"/>
    <hyperlink ref="C84" r:id="rId83" display="https://www.latentinsure.com/texas-homeowners-insurance/twia"/>
    <hyperlink ref="C85" r:id="rId84" display="https://www.leaddistro.ai/blog/one-to-one-consent"/>
    <hyperlink ref="C86" r:id="rId85" display="https://thelendersnetwork.com/flood-insurance-mortgage-requirements/"/>
    <hyperlink ref="C87" r:id="rId86" display="https://www.meilynx.com/reference/naic-ai-model-bulletin"/>
    <hyperlink ref="C88" r:id="rId87" display="https://www.quoteyeti.com/blog/telematics-tradeoffs/"/>
    <hyperlink ref="C89" r:id="rId88" display="https://www.realcostreport.com/insurance/home-insurance/umbrella-insurance-cost/"/>
    <hyperlink ref="C90" r:id="rId89" display="https://www.safedriver.com/news/defensive-driving-for-insurance-discount-2026-how-much-you-can-really-save"/>
    <hyperlink ref="C91" r:id="rId90" display="https://techsavvyinsurance.com/answers/which-states-adopted-naic-ai-model-bulletin/"/>
    <hyperlink ref="C92" r:id="rId91" display="https://usecalcpro.com/finance/umbrella-insurance-quote-calculator"/>
    <hyperlink ref="C93" r:id="rId92" display="https://www.vilesandbeckman.com/blog/did-florida-repeal-no-fault-insurance-the-pip-myths-and-the-facts-for-2026/"/>
    <hyperlink ref="C94" r:id="rId93" display="https://walletgrower.com/insurance/homeowners-insurance/flood-insurance"/>
    <hyperlink ref="C95" r:id="rId94" display="https://actuary.info/insights/ai-regulation-insurance-naic-2026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2026-09-30T09:47:52Z</dcterms:created>
  <dc:creator>openpyxl</dc:creator>
  <dc:description/>
  <dc:language>en-US</dc:language>
  <cp:lastModifiedBy/>
  <dcterms:modified xsi:type="dcterms:W3CDTF">2026-09-30T09:47:52Z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