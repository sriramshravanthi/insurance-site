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6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3" ht="45" customHeight="1" s="29">
      <c r="A3" s="31" t="inlineStr">
        <is>
          <t>Purpose</t>
        </is>
      </c>
      <c r="B3" s="32" t="inlineStr">
        <is>
          <t>Structured reference data from research through October 1, 2026 (California auto and home; Texas, Florida, New York, Illinois, Pennsylvania, Georgia and North Carolina auto; Texas, Florida, New York, Illinois, Pennsylvania, Georgia and North Carolina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f>COUNTIF('NC Home Verified'!$J$2:$J$500,"Secondary - unverified")</f>
        <v/>
      </c>
      <c r="D39">
        <f>COUNTIF('NC Home Verified'!$J$2:$J$500,"Conflicting")</f>
        <v/>
      </c>
      <c r="E39">
        <f>COUNTIF('NC Home Verified'!$J$2:$J$500,"Not researched")</f>
        <v/>
      </c>
      <c r="F39">
        <f>SUM(B39:E39)</f>
        <v/>
      </c>
    </row>
    <row r="40" ht="15" customHeight="1" s="29">
      <c r="A40" s="39" t="inlineStr">
        <is>
          <t>All tabs</t>
        </is>
      </c>
      <c r="B40" s="39">
        <f>SUM(B17:B39)</f>
        <v/>
      </c>
      <c r="C40">
        <f>SUM(C17:C39)</f>
        <v/>
      </c>
      <c r="D40">
        <f>SUM(D17:D39)</f>
        <v/>
      </c>
      <c r="E40">
        <f>SUM(E17:E39)</f>
        <v/>
      </c>
      <c r="F40">
        <f>SUM(F17:F39)</f>
        <v/>
      </c>
    </row>
    <row r="41" ht="15" customHeight="1" s="29">
      <c r="A41" s="39" t="inlineStr">
        <is>
          <t>TX Home Verified</t>
        </is>
      </c>
      <c r="B41" s="39" t="inlineStr">
        <is>
          <t>Texas home facts from TDI, TWIA and secondary sources.</t>
        </is>
      </c>
    </row>
    <row r="42" ht="15" customHeight="1" s="29">
      <c r="A42" s="39" t="inlineStr">
        <is>
          <t>FL Home Verified</t>
        </is>
      </c>
      <c r="B42" s="39" t="inlineStr">
        <is>
          <t>Florida home facts: hurricane deductibles, Citizens and flood rules.</t>
        </is>
      </c>
    </row>
    <row r="43" ht="15" customHeight="1" s="29">
      <c r="A43" s="39" t="inlineStr">
        <is>
          <t>TX Auto Verified</t>
        </is>
      </c>
      <c r="B43" s="39" t="inlineStr">
        <is>
          <t>Texas auto facts from the TDI guide.</t>
        </is>
      </c>
    </row>
    <row r="44" ht="15" customHeight="1" s="29">
      <c r="A44" s="39" t="inlineStr">
        <is>
          <t>FL Auto Verified</t>
        </is>
      </c>
      <c r="B44" s="39" t="inlineStr">
        <is>
          <t>Florida auto facts from FLHSMV and Florida Statutes.</t>
        </is>
      </c>
    </row>
    <row r="45" ht="15" customHeight="1" s="29">
      <c r="A45" s="39" t="inlineStr">
        <is>
          <t>NY Auto Verified</t>
        </is>
      </c>
      <c r="B45" s="39" t="inlineStr">
        <is>
          <t>New York auto facts from the DFS consumer guide.</t>
        </is>
      </c>
    </row>
    <row r="46" ht="15" customHeight="1" s="29">
      <c r="A46" s="39" t="inlineStr">
        <is>
          <t>CA Home Verified</t>
        </is>
      </c>
      <c r="B46" s="39" t="inlineStr">
        <is>
          <t>California home insurance facts traced to CDI, CEA and FAIR Plan sources and CDI press releases.</t>
        </is>
      </c>
    </row>
    <row r="47" ht="15" customHeight="1" s="29">
      <c r="A47" s="39" t="inlineStr">
        <is>
          <t>CA Auto Verified</t>
        </is>
      </c>
      <c r="B47" s="39" t="inlineStr">
        <is>
          <t>California auto facts traced to primary sources (CDI, DMV, statutes and regulations).</t>
        </is>
      </c>
    </row>
    <row r="48" ht="15" customHeight="1" s="29">
      <c r="A48" s="39" t="inlineStr">
        <is>
          <t>State Min Limits</t>
        </is>
      </c>
      <c r="B48" s="39" t="inlineStr">
        <is>
          <t>Minimum auto liability limits by state (50 states + DC); most rows still to research.</t>
        </is>
      </c>
    </row>
    <row r="49" ht="15" customHeight="1" s="29">
      <c r="A49" s="39" t="inlineStr">
        <is>
          <t>Rating Factors</t>
        </is>
      </c>
      <c r="B49" s="39" t="inlineStr">
        <is>
          <t>Credit, gender and age rules by state for states researched.</t>
        </is>
      </c>
    </row>
    <row r="50" ht="15" customHeight="1" s="29">
      <c r="A50" s="39" t="inlineStr">
        <is>
          <t>Discounts</t>
        </is>
      </c>
      <c r="B50" s="39" t="inlineStr">
        <is>
          <t>Discount availability by state and carrier.</t>
        </is>
      </c>
    </row>
    <row r="51" ht="15" customHeight="1" s="29">
      <c r="A51" s="39" t="inlineStr">
        <is>
          <t>Telematics</t>
        </is>
      </c>
      <c r="B51" s="39" t="inlineStr">
        <is>
          <t>Usage-based programs by carrier.</t>
        </is>
      </c>
    </row>
    <row r="52" ht="15" customHeight="1" s="29">
      <c r="A52" s="39" t="inlineStr">
        <is>
          <t>Coverage Details</t>
        </is>
      </c>
      <c r="B52" s="39" t="inlineStr">
        <is>
          <t>Flood, earthquake, umbrella and other coverage facts.</t>
        </is>
      </c>
    </row>
    <row r="53">
      <c r="A53" s="39" t="inlineStr">
        <is>
          <t>Price Benchmarks</t>
        </is>
      </c>
      <c r="B53" s="39" t="inlineStr">
        <is>
          <t>Published average premiums with spread formulas.</t>
        </is>
      </c>
    </row>
    <row r="54">
      <c r="A54" s="39" t="inlineStr">
        <is>
          <t>Regulatory Watch</t>
        </is>
      </c>
      <c r="B54" s="39" t="inlineStr">
        <is>
          <t>Laws and rules to monitor.</t>
        </is>
      </c>
    </row>
    <row r="55">
      <c r="A55" s="39" t="inlineStr">
        <is>
          <t>Quote Source Options</t>
        </is>
      </c>
      <c r="B55" s="39" t="inlineStr">
        <is>
          <t>Ways to get real quotes and what each implies.</t>
        </is>
      </c>
    </row>
    <row r="56">
      <c r="A56" s="28" t="inlineStr">
        <is>
          <t>Legal Review Checklist</t>
        </is>
      </c>
      <c r="B56" s="28" t="inlineStr">
        <is>
          <t>Questions to bring to insurance-regulatory counsel.</t>
        </is>
      </c>
    </row>
    <row r="57">
      <c r="A57" s="28" t="inlineStr">
        <is>
          <t>Refresh Schedule</t>
        </is>
      </c>
      <c r="B57" s="28" t="inlineStr">
        <is>
          <t>Owners, review intervals and overdue checks (formulas).</t>
        </is>
      </c>
    </row>
    <row r="58">
      <c r="A58" s="28" t="inlineStr">
        <is>
          <t>Conflicts Log</t>
        </is>
      </c>
      <c r="B58" s="28" t="inlineStr">
        <is>
          <t>Where sources disagree and what to verify.</t>
        </is>
      </c>
    </row>
    <row r="59">
      <c r="A59" s="28" t="inlineStr">
        <is>
          <t>Sources</t>
        </is>
      </c>
      <c r="B59" s="28" t="inlineStr">
        <is>
          <t>Every source used, with type and reliability note.</t>
        </is>
      </c>
    </row>
    <row r="60">
      <c r="A60" s="28" t="inlineStr">
        <is>
          <t>Tabs (additional entries below)</t>
        </is>
      </c>
      <c r="B60" s="28" t="n"/>
    </row>
    <row r="61">
      <c r="A61" s="28" t="inlineStr">
        <is>
          <t>NY Home Verified</t>
        </is>
      </c>
      <c r="B61" s="28" t="inlineStr">
        <is>
          <t>New York home facts from the DFS homeowners guide, NYPIUA, and the cancellations/non-renewals and discounts pages.</t>
        </is>
      </c>
    </row>
    <row r="62">
      <c r="A62" s="28" t="inlineStr">
        <is>
          <t>IL Auto Verified</t>
        </is>
      </c>
      <c r="B62" s="28" t="inlineStr">
        <is>
          <t>Illinois auto facts from the IDOI shopping guide and the Illinois credit-scoring statute.</t>
        </is>
      </c>
    </row>
    <row r="63">
      <c r="A63" s="28" t="inlineStr">
        <is>
          <t>IL Home Verified</t>
        </is>
      </c>
      <c r="B63" s="28" t="inlineStr">
        <is>
          <t>Illinois home facts from the IDOI homeowner guide, the Illinois FAIR Plan, non-renewal rules, and the credit-scoring statute.</t>
        </is>
      </c>
    </row>
    <row r="64">
      <c r="A64" s="28" t="inlineStr">
        <is>
          <t>PA Auto Verified</t>
        </is>
      </c>
      <c r="B64" s="28" t="inlineStr">
        <is>
          <t>Pennsylvania auto facts from the official IDOI Automobile Insurance Guide.</t>
        </is>
      </c>
    </row>
    <row r="65">
      <c r="A65" s="28" t="inlineStr">
        <is>
          <t>PA Home Verified</t>
        </is>
      </c>
      <c r="B65" s="28" t="inlineStr">
        <is>
          <t>Pennsylvania home facts from the official IDOI Homeowners Insurance Guide and the PA FAIR Plan.</t>
        </is>
      </c>
    </row>
    <row r="66">
      <c r="A66" t="inlineStr">
        <is>
          <t>GA Auto Verified</t>
        </is>
      </c>
      <c r="B66" t="inlineStr">
        <is>
          <t>Georgia auto facts from the official OCI Consumer Guide for Automobile Insurance.</t>
        </is>
      </c>
    </row>
    <row r="67">
      <c r="A67" t="inlineStr">
        <is>
          <t>GA Home Verified</t>
        </is>
      </c>
      <c r="B67" t="inlineStr">
        <is>
          <t>Georgia home facts from the official OCI Consumer Guide for Homeowners Insurance and the Georgia FAIR Plan.</t>
        </is>
      </c>
    </row>
    <row r="68">
      <c r="A68" t="inlineStr">
        <is>
          <t>NC Auto Verified</t>
        </is>
      </c>
      <c r="B68" t="inlineStr">
        <is>
          <t>North Carolina auto facts from NCDOI and the NC DMV.</t>
        </is>
      </c>
    </row>
    <row r="69">
      <c r="A69" t="inlineStr">
        <is>
          <t>NC Home Verified</t>
        </is>
      </c>
      <c r="B69" t="inlineStr">
        <is>
          <t>North Carolina home facts from the NCJUA/NCIUA FAIR and Beach Plans.</t>
        </is>
      </c>
    </row>
  </sheetData>
  <mergeCells count="24">
    <mergeCell ref="B7:F7"/>
    <mergeCell ref="B47:F47"/>
    <mergeCell ref="B54:F54"/>
    <mergeCell ref="B3:F3"/>
    <mergeCell ref="B46:F46"/>
    <mergeCell ref="B56:F56"/>
    <mergeCell ref="B52:F52"/>
    <mergeCell ref="B12:F12"/>
    <mergeCell ref="B43:F43"/>
    <mergeCell ref="B48:F48"/>
    <mergeCell ref="B11:F11"/>
    <mergeCell ref="B42:F42"/>
    <mergeCell ref="B13:F13"/>
    <mergeCell ref="B53:F53"/>
    <mergeCell ref="B44:F44"/>
    <mergeCell ref="B10:F10"/>
    <mergeCell ref="B49:F49"/>
    <mergeCell ref="B55:F55"/>
    <mergeCell ref="B6:F6"/>
    <mergeCell ref="B5:F5"/>
    <mergeCell ref="B51:F51"/>
    <mergeCell ref="B45:F45"/>
    <mergeCell ref="B50:F50"/>
    <mergeCell ref="B41:F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c r="C4" s="41" t="n"/>
      <c r="D4" s="41" t="n"/>
      <c r="E4" s="41" t="n"/>
      <c r="F4" s="41" t="n"/>
      <c r="G4" s="41" t="n"/>
      <c r="H4" s="41" t="n"/>
      <c r="I4" s="41" t="n"/>
      <c r="J4" s="42" t="n"/>
      <c r="K4" s="43" t="n">
        <v>46295</v>
      </c>
      <c r="L4" s="41" t="inlineStr">
        <is>
          <t>Arizona</t>
        </is>
      </c>
      <c r="M4" s="41" t="inlineStr">
        <is>
          <t>Placeholder</t>
        </is>
      </c>
      <c r="N4" s="47" t="inlineStr">
        <is>
          <t>Not researched</t>
        </is>
      </c>
      <c r="O4" s="43" t="n">
        <v>46295</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c r="C16" s="41" t="n"/>
      <c r="D16" s="41" t="n"/>
      <c r="E16" s="41" t="n"/>
      <c r="F16" s="41" t="n"/>
      <c r="G16" s="41" t="n"/>
      <c r="H16" s="41" t="n"/>
      <c r="I16" s="41" t="n"/>
      <c r="J16" s="42" t="n"/>
      <c r="K16" s="43" t="n">
        <v>46295</v>
      </c>
      <c r="L16" s="41" t="inlineStr">
        <is>
          <t>Indiana</t>
        </is>
      </c>
      <c r="M16" s="41" t="inlineStr">
        <is>
          <t>Placeholder</t>
        </is>
      </c>
      <c r="N16" s="47" t="inlineStr">
        <is>
          <t>Not researched</t>
        </is>
      </c>
      <c r="O16" s="43" t="n">
        <v>46295</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c r="C27" s="41" t="n"/>
      <c r="D27" s="41" t="n"/>
      <c r="E27" s="41" t="n"/>
      <c r="F27" s="41" t="n"/>
      <c r="G27" s="41" t="n"/>
      <c r="H27" s="41" t="n"/>
      <c r="I27" s="41" t="n"/>
      <c r="J27" s="42" t="n"/>
      <c r="K27" s="43" t="n">
        <v>46295</v>
      </c>
      <c r="L27" s="41" t="inlineStr">
        <is>
          <t>Missouri</t>
        </is>
      </c>
      <c r="M27" s="41" t="inlineStr">
        <is>
          <t>Placeholder</t>
        </is>
      </c>
      <c r="N27" s="47" t="inlineStr">
        <is>
          <t>Not researched</t>
        </is>
      </c>
      <c r="O27" s="43" t="n">
        <v>46295</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t>
        </is>
      </c>
      <c r="H32" s="41" t="inlineStr">
        <is>
          <t>New limits effective Jan 1, 2026 (3 sources)</t>
        </is>
      </c>
      <c r="I32" s="41" t="inlineStr">
        <is>
          <t>CarInsurance.com - Minimum liability by state (Apr 2026)</t>
        </is>
      </c>
      <c r="J32" s="42" t="inlineStr">
        <is>
          <t>https://www.carinsurance.com/Articles/minimum-liability-car-insurance-requirements-by-state.aspx</t>
        </is>
      </c>
      <c r="K32" s="43" t="n">
        <v>46295</v>
      </c>
      <c r="L32" s="41" t="inlineStr">
        <is>
          <t>New Jersey</t>
        </is>
      </c>
      <c r="M32" s="41" t="inlineStr">
        <is>
          <t>Reference data (secondary source)</t>
        </is>
      </c>
      <c r="N32" s="46" t="inlineStr">
        <is>
          <t>Conflicting</t>
        </is>
      </c>
      <c r="O32" s="43" t="n">
        <v>46295</v>
      </c>
      <c r="P32" s="41" t="inlineStr">
        <is>
          <t>Coverage Criteria (Feb 2026) still lists older two-tier structure (Basic Policy: no BI minimum, $5K PD, $15K PIP; Standard: 15/30/5 + $15K PIP). Confirm with NJ DOBI.</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n"/>
      <c r="I44" s="41" t="inlineStr">
        <is>
          <t>AutoInsurance.org - Requirements by state</t>
        </is>
      </c>
      <c r="J44" s="42" t="inlineStr">
        <is>
          <t>https://www.autoinsurance.org/car-insurance-requirements/</t>
        </is>
      </c>
      <c r="K44" s="43" t="n">
        <v>46295</v>
      </c>
      <c r="L44" s="41" t="inlineStr">
        <is>
          <t>Tennessee</t>
        </is>
      </c>
      <c r="M44" s="41" t="inlineStr">
        <is>
          <t>Reference data (secondary source)</t>
        </is>
      </c>
      <c r="N44" s="45" t="inlineStr">
        <is>
          <t>Secondary - unverified</t>
        </is>
      </c>
      <c r="O44" s="43" t="n">
        <v>46295</v>
      </c>
      <c r="P44" s="41" t="n"/>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Effective Jan 1, 2025 per two sources</t>
        </is>
      </c>
      <c r="I48" s="41" t="inlineStr">
        <is>
          <t>CarInsurance.com - Minimum liability by state (Apr 2026)</t>
        </is>
      </c>
      <c r="J48" s="42" t="inlineStr">
        <is>
          <t>https://www.carinsurance.com/Articles/minimum-liability-car-insurance-requirements-by-state.aspx</t>
        </is>
      </c>
      <c r="K48" s="43" t="n">
        <v>46295</v>
      </c>
      <c r="L48" s="41" t="inlineStr">
        <is>
          <t>Virginia</t>
        </is>
      </c>
      <c r="M48" s="41" t="inlineStr">
        <is>
          <t>Reference data (secondary source)</t>
        </is>
      </c>
      <c r="N48" s="46" t="inlineStr">
        <is>
          <t>Conflicting</t>
        </is>
      </c>
      <c r="O48" s="43" t="n">
        <v>46295</v>
      </c>
      <c r="P48" s="41" t="inlineStr">
        <is>
          <t>Coverage Criteria says 30/60/20 effective Jan 1, 2025. Two sources agree on 50/100/25. Confirm with VA DMV.</t>
        </is>
      </c>
    </row>
    <row r="49" ht="15" customHeight="1" s="29">
      <c r="A49" s="41" t="inlineStr">
        <is>
          <t>Washington</t>
        </is>
      </c>
      <c r="B49" s="41" t="n"/>
      <c r="C49" s="41" t="n"/>
      <c r="D49" s="41" t="n"/>
      <c r="E49" s="41" t="n"/>
      <c r="F49" s="41" t="n"/>
      <c r="G49" s="41" t="n"/>
      <c r="H49" s="41" t="n"/>
      <c r="I49" s="41" t="n"/>
      <c r="J49" s="42" t="n"/>
      <c r="K49" s="43" t="n">
        <v>46295</v>
      </c>
      <c r="L49" s="41" t="inlineStr">
        <is>
          <t>Washington</t>
        </is>
      </c>
      <c r="M49" s="41" t="inlineStr">
        <is>
          <t>Placeholder</t>
        </is>
      </c>
      <c r="N49" s="47" t="inlineStr">
        <is>
          <t>Not researched</t>
        </is>
      </c>
      <c r="O49" s="43" t="n">
        <v>46295</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No</t>
        </is>
      </c>
      <c r="G2" s="41" t="n"/>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No</t>
        </is>
      </c>
      <c r="G4" s="41" t="n"/>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2026-10-01T05:38:28Z</dcterms:modified>
  <cp:revision>0</cp:revision>
</cp:coreProperties>
</file>