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CA Auto Verified" sheetId="2" state="visible" r:id="rId2"/>
    <sheet name="CA Home Verified" sheetId="3" state="visible" r:id="rId3"/>
    <sheet name="TX Auto Verified" sheetId="4" state="visible" r:id="rId4"/>
    <sheet name="FL Auto Verified" sheetId="5" state="visible" r:id="rId5"/>
    <sheet name="NY Auto Verified" sheetId="6" state="visible" r:id="rId6"/>
    <sheet name="TX Home Verified" sheetId="7" state="visible" r:id="rId7"/>
    <sheet name="FL Home Verified" sheetId="8" state="visible" r:id="rId8"/>
    <sheet name="State Min Limits" sheetId="9" state="visible" r:id="rId9"/>
    <sheet name="Rating Factors" sheetId="10" state="visible" r:id="rId10"/>
    <sheet name="Discounts" sheetId="11" state="visible" r:id="rId11"/>
    <sheet name="Telematics" sheetId="12" state="visible" r:id="rId12"/>
    <sheet name="Coverage Details" sheetId="13" state="visible" r:id="rId13"/>
    <sheet name="Price Benchmarks" sheetId="14" state="visible" r:id="rId14"/>
    <sheet name="Regulatory Watch" sheetId="15" state="visible" r:id="rId15"/>
    <sheet name="Quote Source Options" sheetId="16" state="visible" r:id="rId16"/>
    <sheet name="Legal Review Checklist" sheetId="17" state="visible" r:id="rId17"/>
    <sheet name="Refresh Schedule" sheetId="18" state="visible" r:id="rId18"/>
    <sheet name="Conflicts Log" sheetId="19" state="visible" r:id="rId19"/>
    <sheet name="Sources" sheetId="20" state="visible" r:id="rId20"/>
    <sheet name="NY Home Verified" sheetId="21" state="visible" r:id="rId21"/>
    <sheet name="IL Auto Verified" sheetId="22" state="visible" r:id="rId22"/>
    <sheet name="IL Home Verified" sheetId="23" state="visible" r:id="rId23"/>
    <sheet name="PA Auto Verified" sheetId="24" state="visible" r:id="rId24"/>
    <sheet name="PA Home Verified" sheetId="25" state="visible" r:id="rId25"/>
    <sheet name="GA Auto Verified" sheetId="26" state="visible" r:id="rId26"/>
    <sheet name="GA Home Verified" sheetId="27" state="visible" r:id="rId27"/>
    <sheet name="NC Auto Verified" sheetId="28" state="visible" r:id="rId28"/>
    <sheet name="NC Home Verified" sheetId="29" state="visible" r:id="rId29"/>
    <sheet name="VA Auto Verified" sheetId="30" state="visible" r:id="rId30"/>
    <sheet name="VA Home Verified" sheetId="31" state="visible" r:id="rId31"/>
  </sheets>
  <definedNames>
    <definedName name="_xlnm._FilterDatabase" localSheetId="1" hidden="1">'CA Auto Verified'!$A$1:$L$32</definedName>
    <definedName name="_xlnm._FilterDatabase" localSheetId="2" hidden="1">'CA Home Verified'!$A$1:$L$45</definedName>
    <definedName name="_xlnm._FilterDatabase" localSheetId="3" hidden="1">'TX Auto Verified'!$A$1:$L$19</definedName>
    <definedName name="_xlnm._FilterDatabase" localSheetId="4" hidden="1">'FL Auto Verified'!$A$1:$L$14</definedName>
    <definedName name="_xlnm._FilterDatabase" localSheetId="5" hidden="1">'NY Auto Verified'!$A$1:$L$23</definedName>
    <definedName name="_xlnm._FilterDatabase" localSheetId="6" hidden="1">'TX Home Verified'!$A$1:$L$17</definedName>
    <definedName name="_xlnm._FilterDatabase" localSheetId="7" hidden="1">'FL Home Verified'!$A$1:$L$13</definedName>
    <definedName name="_xlnm._FilterDatabase" localSheetId="8" hidden="1">'State Min Limits'!$A$1:$P$52</definedName>
    <definedName name="_xlnm._FilterDatabase" localSheetId="9" hidden="1">'Rating Factors'!$A$1:$N$14</definedName>
    <definedName name="_xlnm._FilterDatabase" localSheetId="10" hidden="1">'Discounts'!$A$1:$M$31</definedName>
    <definedName name="_xlnm._FilterDatabase" localSheetId="11" hidden="1">'Telematics'!$A$1:$O$11</definedName>
    <definedName name="_xlnm._FilterDatabase" localSheetId="12" hidden="1">'Coverage Details'!$A$1:$L$24</definedName>
    <definedName name="_xlnm._FilterDatabase" localSheetId="13" hidden="1">'Price Benchmarks'!$A$1:$M$14</definedName>
    <definedName name="_xlnm._FilterDatabase" localSheetId="14" hidden="1">'Regulatory Watch'!$A$1:$L$15</definedName>
    <definedName name="_xlnm._FilterDatabase" localSheetId="16" hidden="1">'Legal Review Checklist'!$A$1:$F$21</definedName>
    <definedName name="_xlnm._FilterDatabase" localSheetId="18" hidden="1">'Conflicts Log'!$A$1:$G$21</definedName>
    <definedName name="_xlnm._FilterDatabase" localSheetId="19" hidden="1">'Sources'!$A$1:$E$95</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yyyy\-mm\-dd"/>
    <numFmt numFmtId="165" formatCode="\$#,##0"/>
    <numFmt numFmtId="166" formatCode="yyyy-mm-dd h:mm:ss"/>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color rgb="FF0563C1"/>
      <sz val="10"/>
      <u val="single"/>
    </font>
    <font>
      <name val="Arial"/>
      <charset val="1"/>
      <family val="0"/>
      <i val="1"/>
      <sz val="9"/>
    </font>
    <font>
      <name val="Arial"/>
      <charset val="1"/>
      <family val="0"/>
      <color rgb="FF0000FF"/>
      <sz val="10"/>
    </font>
  </fonts>
  <fills count="8">
    <fill>
      <patternFill/>
    </fill>
    <fill>
      <patternFill patternType="gray125"/>
    </fill>
    <fill>
      <patternFill patternType="solid">
        <fgColor rgb="FFE2EFDA"/>
        <bgColor rgb="FFEDEDED"/>
      </patternFill>
    </fill>
    <fill>
      <patternFill patternType="solid">
        <fgColor rgb="FFFFF2CC"/>
        <bgColor rgb="FFEDEDED"/>
      </patternFill>
    </fill>
    <fill>
      <patternFill patternType="solid">
        <fgColor rgb="FFF8CBAD"/>
        <bgColor rgb="FFFFF2CC"/>
      </patternFill>
    </fill>
    <fill>
      <patternFill patternType="solid">
        <fgColor rgb="FFEDEDED"/>
        <bgColor rgb="FFE2EFDA"/>
      </patternFill>
    </fill>
    <fill>
      <patternFill patternType="solid">
        <fgColor rgb="FF1F3864"/>
        <bgColor rgb="FF333333"/>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164" fontId="6" fillId="0" borderId="0" applyAlignment="1" pivotButton="0" quotePrefix="0" xfId="0">
      <alignment horizontal="left" vertical="bottom"/>
    </xf>
    <xf numFmtId="0" fontId="5" fillId="2" borderId="0" applyAlignment="1" pivotButton="0" quotePrefix="0" xfId="0">
      <alignment horizontal="general" vertical="bottom"/>
    </xf>
    <xf numFmtId="0" fontId="5" fillId="3"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7" fillId="6" borderId="0" applyAlignment="1" pivotButton="0" quotePrefix="0" xfId="0">
      <alignment horizontal="general" vertical="bottom" wrapText="1"/>
    </xf>
    <xf numFmtId="0" fontId="6" fillId="0" borderId="0" applyAlignment="1" pivotButton="0" quotePrefix="0" xfId="0">
      <alignment horizontal="general" vertical="bottom"/>
    </xf>
    <xf numFmtId="0" fontId="6" fillId="0" borderId="0" applyAlignment="1" pivotButton="0" quotePrefix="0" xfId="0">
      <alignment horizontal="general" vertical="bottom"/>
    </xf>
    <xf numFmtId="0" fontId="7" fillId="6" borderId="1" applyAlignment="1" pivotButton="0" quotePrefix="0" xfId="0">
      <alignment horizontal="left" vertical="center" wrapText="1"/>
    </xf>
    <xf numFmtId="0" fontId="6" fillId="0" borderId="1" applyAlignment="1" pivotButton="0" quotePrefix="0" xfId="0">
      <alignment horizontal="general" vertical="top" wrapText="1"/>
    </xf>
    <xf numFmtId="0" fontId="8" fillId="0" borderId="1" applyAlignment="1" pivotButton="0" quotePrefix="0" xfId="0">
      <alignment horizontal="general" vertical="top" wrapText="1"/>
    </xf>
    <xf numFmtId="164" fontId="6" fillId="0" borderId="1" applyAlignment="1" pivotButton="0" quotePrefix="0" xfId="0">
      <alignment horizontal="general" vertical="top" wrapText="1"/>
    </xf>
    <xf numFmtId="0" fontId="6" fillId="2"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165" fontId="6" fillId="0" borderId="1" applyAlignment="1" pivotButton="0" quotePrefix="0" xfId="0">
      <alignment horizontal="general" vertical="top" wrapText="1"/>
    </xf>
    <xf numFmtId="0" fontId="7" fillId="6" borderId="0" applyAlignment="1" pivotButton="0" quotePrefix="0" xfId="0">
      <alignment horizontal="general" vertical="bottom"/>
    </xf>
    <xf numFmtId="165" fontId="6" fillId="0" borderId="0" applyAlignment="1" pivotButton="0" quotePrefix="0" xfId="0">
      <alignment horizontal="general" vertical="bottom"/>
    </xf>
    <xf numFmtId="9"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7" borderId="1" applyAlignment="1" pivotButton="0" quotePrefix="0" xfId="0">
      <alignment horizontal="general" vertical="top" wrapText="1"/>
    </xf>
    <xf numFmtId="0" fontId="10" fillId="0" borderId="1" applyAlignment="1" pivotButton="0" quotePrefix="0" xfId="0">
      <alignment horizontal="general" vertical="top" wrapText="1"/>
    </xf>
    <xf numFmtId="164" fontId="1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164" fontId="6" fillId="0" borderId="0" applyAlignment="1" pivotButton="0" quotePrefix="0" xfId="0">
      <alignment horizontal="left" vertical="bottom"/>
    </xf>
    <xf numFmtId="0" fontId="5" fillId="2" borderId="0" applyAlignment="1" pivotButton="0" quotePrefix="0" xfId="0">
      <alignment horizontal="general" vertical="bottom"/>
    </xf>
    <xf numFmtId="0" fontId="5" fillId="3"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7" fillId="6" borderId="0" applyAlignment="1" pivotButton="0" quotePrefix="0" xfId="0">
      <alignment horizontal="general" vertical="bottom" wrapText="1"/>
    </xf>
    <xf numFmtId="0" fontId="6" fillId="0" borderId="0" applyAlignment="1" pivotButton="0" quotePrefix="0" xfId="0">
      <alignment horizontal="general" vertical="bottom"/>
    </xf>
    <xf numFmtId="0" fontId="7" fillId="6" borderId="1" applyAlignment="1" pivotButton="0" quotePrefix="0" xfId="0">
      <alignment horizontal="left" vertical="center" wrapText="1"/>
    </xf>
    <xf numFmtId="0" fontId="6" fillId="0" borderId="1" applyAlignment="1" pivotButton="0" quotePrefix="0" xfId="0">
      <alignment horizontal="general" vertical="top" wrapText="1"/>
    </xf>
    <xf numFmtId="0" fontId="8" fillId="0" borderId="1" applyAlignment="1" pivotButton="0" quotePrefix="0" xfId="0">
      <alignment horizontal="general" vertical="top" wrapText="1"/>
    </xf>
    <xf numFmtId="164" fontId="6" fillId="0" borderId="1" applyAlignment="1" pivotButton="0" quotePrefix="0" xfId="0">
      <alignment horizontal="general" vertical="top" wrapText="1"/>
    </xf>
    <xf numFmtId="0" fontId="6" fillId="2"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166" fontId="0" fillId="0" borderId="0" pivotButton="0" quotePrefix="0" xfId="0"/>
    <xf numFmtId="165" fontId="6" fillId="0" borderId="1" applyAlignment="1" pivotButton="0" quotePrefix="0" xfId="0">
      <alignment horizontal="general" vertical="top" wrapText="1"/>
    </xf>
    <xf numFmtId="0" fontId="7" fillId="6" borderId="0" applyAlignment="1" pivotButton="0" quotePrefix="0" xfId="0">
      <alignment horizontal="general" vertical="bottom"/>
    </xf>
    <xf numFmtId="165" fontId="6" fillId="0" borderId="0" applyAlignment="1" pivotButton="0" quotePrefix="0" xfId="0">
      <alignment horizontal="general" vertical="bottom"/>
    </xf>
    <xf numFmtId="9"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7" borderId="1" applyAlignment="1" pivotButton="0" quotePrefix="0" xfId="0">
      <alignment horizontal="general" vertical="top" wrapText="1"/>
    </xf>
    <xf numFmtId="0" fontId="10" fillId="0" borderId="1" applyAlignment="1" pivotButton="0" quotePrefix="0" xfId="0">
      <alignment horizontal="general" vertical="top" wrapText="1"/>
    </xf>
    <xf numFmtId="164" fontId="1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F8CBAD"/>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dmv.ca.gov/portal/vehicle-registration/insurance-requirements/" TargetMode="External" Id="rId1" /><Relationship Type="http://schemas.openxmlformats.org/officeDocument/2006/relationships/hyperlink" Target="https://www.dmv.ca.gov/portal/vehicle-registration/insurance-requirements/" TargetMode="External" Id="rId2" /><Relationship Type="http://schemas.openxmlformats.org/officeDocument/2006/relationships/hyperlink" Target="https://www.dmv.ca.gov/portal/vehicle-registration/insurance-requirements/" TargetMode="External" Id="rId3" /><Relationship Type="http://schemas.openxmlformats.org/officeDocument/2006/relationships/hyperlink" Target="https://www.insurance.ca.gov/0400-news/0102-alerts/2024/California-s-Low-Cost-Auto-Insurance.cfm" TargetMode="External" Id="rId4" /><Relationship Type="http://schemas.openxmlformats.org/officeDocument/2006/relationships/hyperlink" Target="https://www.carinsurance.com/Articles/minimum-liability-car-insurance-requirements-by-state.aspx" TargetMode="External" Id="rId5" /><Relationship Type="http://schemas.openxmlformats.org/officeDocument/2006/relationships/hyperlink" Target="https://leginfo.legislature.ca.gov/faces/billNavClient.xhtml?bill_id=202120220SB1107" TargetMode="External" Id="rId6" /><Relationship Type="http://schemas.openxmlformats.org/officeDocument/2006/relationships/hyperlink" Target="https://www.dmv.ca.gov/portal/vehicle-registration/insurance-requirements/" TargetMode="External" Id="rId7" /><Relationship Type="http://schemas.openxmlformats.org/officeDocument/2006/relationships/hyperlink" Target="https://www.dmv.ca.gov/portal/vehicle-registration/insurance-requirements/" TargetMode="External" Id="rId8" /><Relationship Type="http://schemas.openxmlformats.org/officeDocument/2006/relationships/hyperlink" Target="https://www.dmv.ca.gov/portal/vehicle-registration/insurance-requirements/" TargetMode="External" Id="rId9" /><Relationship Type="http://schemas.openxmlformats.org/officeDocument/2006/relationships/hyperlink" Target="https://www.dmv.ca.gov/portal/vehicle-registration/insurance-requirements/" TargetMode="External" Id="rId10" /><Relationship Type="http://schemas.openxmlformats.org/officeDocument/2006/relationships/hyperlink" Target="https://www.insurance.ca.gov/01-consumers/105-type/95-guides/01-auto/auto101.cfm" TargetMode="External" Id="rId11" /><Relationship Type="http://schemas.openxmlformats.org/officeDocument/2006/relationships/hyperlink" Target="https://www.insurance.ca.gov/01-consumers/105-type/95-guides/01-auto/auto101.cfm" TargetMode="External" Id="rId12" /><Relationship Type="http://schemas.openxmlformats.org/officeDocument/2006/relationships/hyperlink" Target="https://www.insurance.ca.gov/01-consumers/105-type/95-guides/01-auto/auto101.cfm" TargetMode="External" Id="rId13" /><Relationship Type="http://schemas.openxmlformats.org/officeDocument/2006/relationships/hyperlink" Target="https://www.insurance.ca.gov/01-consumers/105-type/95-guides/01-auto/auto101.cfm" TargetMode="External" Id="rId14" /><Relationship Type="http://schemas.openxmlformats.org/officeDocument/2006/relationships/hyperlink" Target="https://www.insurance.ca.gov/01-consumers/105-type/95-guides/01-auto/auto101.cfm" TargetMode="External" Id="rId15" /><Relationship Type="http://schemas.openxmlformats.org/officeDocument/2006/relationships/hyperlink" Target="https://www.insurance.ca.gov/01-consumers/105-type/95-guides/01-auto/auto101.cfm" TargetMode="External" Id="rId16" /><Relationship Type="http://schemas.openxmlformats.org/officeDocument/2006/relationships/hyperlink" Target="https://www.law.cornell.edu/regulations/california/10-CCR-2632.5" TargetMode="External" Id="rId17" /><Relationship Type="http://schemas.openxmlformats.org/officeDocument/2006/relationships/hyperlink" Target="https://www.law.cornell.edu/regulations/california/10-CCR-2632.5" TargetMode="External" Id="rId18" /><Relationship Type="http://schemas.openxmlformats.org/officeDocument/2006/relationships/hyperlink" Target="https://www.law.cornell.edu/regulations/california/10-CCR-2632.5" TargetMode="External" Id="rId19" /><Relationship Type="http://schemas.openxmlformats.org/officeDocument/2006/relationships/hyperlink" Target="https://www.law.cornell.edu/regulations/california/10-CCR-2632.5" TargetMode="External" Id="rId20" /><Relationship Type="http://schemas.openxmlformats.org/officeDocument/2006/relationships/hyperlink" Target="https://www.law.cornell.edu/regulations/california/10-CCR-2632.5" TargetMode="External" Id="rId21" /><Relationship Type="http://schemas.openxmlformats.org/officeDocument/2006/relationships/hyperlink" Target="https://www.law.cornell.edu/regulations/california/10-CCR-2632.5" TargetMode="External" Id="rId22" /><Relationship Type="http://schemas.openxmlformats.org/officeDocument/2006/relationships/hyperlink" Target="https://www.law.cornell.edu/regulations/california/10-CCR-2632.5" TargetMode="External" Id="rId23" /><Relationship Type="http://schemas.openxmlformats.org/officeDocument/2006/relationships/hyperlink" Target="https://www.law.cornell.edu/regulations/california/10-CCR-2632.12" TargetMode="External" Id="rId24" /><Relationship Type="http://schemas.openxmlformats.org/officeDocument/2006/relationships/hyperlink" Target="https://law.justia.com/codes/california/code-ins/division-1/part-2/chapter-9/article-10/section-1861-025/" TargetMode="External" Id="rId25" /><Relationship Type="http://schemas.openxmlformats.org/officeDocument/2006/relationships/hyperlink" Target="https://www.insurance.ca.gov/0250-insurers/0300-insurers/0200-bulletins/bulletin-notices-commiss-opinion/upload/Advisory-Notice-2005-02.pdf" TargetMode="External" Id="rId26" /><Relationship Type="http://schemas.openxmlformats.org/officeDocument/2006/relationships/hyperlink" Target="https://codes.findlaw.com/ca/insurance-code/ins-sect-11628-3/" TargetMode="External" Id="rId27" /><Relationship Type="http://schemas.openxmlformats.org/officeDocument/2006/relationships/hyperlink" Target="https://www.insurance.ca.gov/01-consumers/105-type/95-guides/01-auto/auto101.cfm" TargetMode="External" Id="rId28" /><Relationship Type="http://schemas.openxmlformats.org/officeDocument/2006/relationships/hyperlink" Target="https://www.insurance.ca.gov/01-consumers/105-type/95-guides/01-auto/auto101.cfm" TargetMode="External" Id="rId29" /><Relationship Type="http://schemas.openxmlformats.org/officeDocument/2006/relationships/hyperlink" Target="https://www.insurance.ca.gov/01-consumers/105-type/95-guides/01-auto/auto101.cfm" TargetMode="External" Id="rId30" /><Relationship Type="http://schemas.openxmlformats.org/officeDocument/2006/relationships/hyperlink" Target="https://www.insurance.ca.gov/01-consumers/105-type/95-guides/01-auto/auto101.cfm" TargetMode="External" Id="rId31" /></Relationships>
</file>

<file path=xl/worksheets/_rels/sheet3.xml.rels><Relationships xmlns="http://schemas.openxmlformats.org/package/2006/relationships"><Relationship Type="http://schemas.openxmlformats.org/officeDocument/2006/relationships/hyperlink" Target="https://www.insurance.ca.gov/01-consumers/105-type/95-guides/upload/Homeowners-Insurance-Updated-121924.pdf" TargetMode="External" Id="rId1" /><Relationship Type="http://schemas.openxmlformats.org/officeDocument/2006/relationships/hyperlink" Target="https://www.insurance.ca.gov/01-consumers/105-type/95-guides/03-res/res-ins-guide.cfm" TargetMode="External" Id="rId2" /><Relationship Type="http://schemas.openxmlformats.org/officeDocument/2006/relationships/hyperlink" Target="https://www.insurance.ca.gov/01-consumers/105-type/95-guides/03-res/res-ins-guide.cfm" TargetMode="External" Id="rId3" /><Relationship Type="http://schemas.openxmlformats.org/officeDocument/2006/relationships/hyperlink" Target="https://www.insurance.ca.gov/01-consumers/105-type/95-guides/03-res/res-ins-guide.cfm" TargetMode="External" Id="rId4" /><Relationship Type="http://schemas.openxmlformats.org/officeDocument/2006/relationships/hyperlink" Target="https://www.insurance.ca.gov/01-consumers/105-type/95-guides/03-res/res-ins-guide.cfm" TargetMode="External" Id="rId5" /><Relationship Type="http://schemas.openxmlformats.org/officeDocument/2006/relationships/hyperlink" Target="https://www.insurance.ca.gov/01-consumers/105-type/95-guides/03-res/res-ins-guide.cfm" TargetMode="External" Id="rId6" /><Relationship Type="http://schemas.openxmlformats.org/officeDocument/2006/relationships/hyperlink" Target="https://www.insurance.ca.gov/01-consumers/105-type/95-guides/03-res/res-ins-guide.cfm" TargetMode="External" Id="rId7" /><Relationship Type="http://schemas.openxmlformats.org/officeDocument/2006/relationships/hyperlink" Target="https://www.insurance.ca.gov/01-consumers/105-type/95-guides/03-res/res-ins-guide.cfm" TargetMode="External" Id="rId8" /><Relationship Type="http://schemas.openxmlformats.org/officeDocument/2006/relationships/hyperlink" Target="https://www.insurance.ca.gov/01-consumers/105-type/95-guides/03-res/res-ins-guide.cfm" TargetMode="External" Id="rId9" /><Relationship Type="http://schemas.openxmlformats.org/officeDocument/2006/relationships/hyperlink" Target="https://www.insurance.ca.gov/01-consumers/105-type/95-guides/03-res/res-ins-guide.cfm" TargetMode="External" Id="rId10" /><Relationship Type="http://schemas.openxmlformats.org/officeDocument/2006/relationships/hyperlink" Target="https://www.insurance.ca.gov/01-consumers/105-type/95-guides/03-res/res-ins-guide.cfm" TargetMode="External" Id="rId11" /><Relationship Type="http://schemas.openxmlformats.org/officeDocument/2006/relationships/hyperlink" Target="https://www.insurance.ca.gov/01-consumers/105-type/95-guides/03-res/res-ins-guide.cfm" TargetMode="External" Id="rId12" /><Relationship Type="http://schemas.openxmlformats.org/officeDocument/2006/relationships/hyperlink" Target="https://www.insurance.ca.gov/01-consumers/105-type/95-guides/03-res/res-ins-guide.cfm" TargetMode="External" Id="rId13" /><Relationship Type="http://schemas.openxmlformats.org/officeDocument/2006/relationships/hyperlink" Target="https://www.insurance.ca.gov/01-consumers/200-wrr/Safer-from-Wildfires.cfm" TargetMode="External" Id="rId14" /><Relationship Type="http://schemas.openxmlformats.org/officeDocument/2006/relationships/hyperlink" Target="https://media.rff.org/documents/WP_25-30.pdf" TargetMode="External" Id="rId15" /><Relationship Type="http://schemas.openxmlformats.org/officeDocument/2006/relationships/hyperlink" Target="https://www.insurance.ca.gov/01-consumers/105-type/95-guides/03-res/res-ins-guide.cfm" TargetMode="External" Id="rId16" /><Relationship Type="http://schemas.openxmlformats.org/officeDocument/2006/relationships/hyperlink" Target="https://www.insurance.ca.gov/01-consumers/105-type/95-guides/03-res/res-ins-guide.cfm" TargetMode="External" Id="rId17" /><Relationship Type="http://schemas.openxmlformats.org/officeDocument/2006/relationships/hyperlink" Target="https://www.insurance.ca.gov/01-consumers/105-type/95-guides/03-res/res-ins-guide.cfm" TargetMode="External" Id="rId18" /><Relationship Type="http://schemas.openxmlformats.org/officeDocument/2006/relationships/hyperlink" Target="https://www.insurance.ca.gov/01-consumers/105-type/95-guides/03-res/res-ins-guide.cfm" TargetMode="External" Id="rId19" /><Relationship Type="http://schemas.openxmlformats.org/officeDocument/2006/relationships/hyperlink" Target="https://www.insurance.ca.gov/01-consumers/105-type/95-guides/03-res/res-ins-guide.cfm" TargetMode="External" Id="rId20" /><Relationship Type="http://schemas.openxmlformats.org/officeDocument/2006/relationships/hyperlink" Target="https://www.insurance.ca.gov/01-consumers/105-type/95-guides/03-res/res-ins-guide.cfm" TargetMode="External" Id="rId21" /><Relationship Type="http://schemas.openxmlformats.org/officeDocument/2006/relationships/hyperlink" Target="https://www.insurance.ca.gov/0400-news/0100-press-releases/2025/release079-2025.cfm" TargetMode="External" Id="rId22" /><Relationship Type="http://schemas.openxmlformats.org/officeDocument/2006/relationships/hyperlink" Target="https://www.insurance.ca.gov/0400-news/0100-press-releases/2025/release079-2025.cfm" TargetMode="External" Id="rId23" /><Relationship Type="http://schemas.openxmlformats.org/officeDocument/2006/relationships/hyperlink" Target="https://www.insurance.ca.gov/0400-news/0100-press-releases/2025/release079-2025.cfm" TargetMode="External" Id="rId24" /><Relationship Type="http://schemas.openxmlformats.org/officeDocument/2006/relationships/hyperlink" Target="https://www.insurance.ca.gov/01-consumers/105-type/95-guides/03-res/eq-ins.cfm" TargetMode="External" Id="rId25" /><Relationship Type="http://schemas.openxmlformats.org/officeDocument/2006/relationships/hyperlink" Target="https://law.justia.com/codes/california/code-ins/division-2/part-1/chapter-8-5/section-10083/" TargetMode="External" Id="rId26" /><Relationship Type="http://schemas.openxmlformats.org/officeDocument/2006/relationships/hyperlink" Target="https://www.insurance.ca.gov/01-consumers/105-type/95-guides/03-res/eq-ins.cfm" TargetMode="External" Id="rId27" /><Relationship Type="http://schemas.openxmlformats.org/officeDocument/2006/relationships/hyperlink" Target="https://www.insurance.ca.gov/01-consumers/105-type/95-guides/03-res/eq-ins.cfm" TargetMode="External" Id="rId28" /><Relationship Type="http://schemas.openxmlformats.org/officeDocument/2006/relationships/hyperlink" Target="https://www.insurance.ca.gov/01-consumers/105-type/95-guides/03-res/eq-ins.cfm" TargetMode="External" Id="rId29" /><Relationship Type="http://schemas.openxmlformats.org/officeDocument/2006/relationships/hyperlink" Target="https://www.earthquakeauthority.com/california-earthquake-insurance-policies/homeowners" TargetMode="External" Id="rId30" /><Relationship Type="http://schemas.openxmlformats.org/officeDocument/2006/relationships/hyperlink" Target="https://www.earthquakeauthority.com/california-earthquake-insurance-policies/homeowners" TargetMode="External" Id="rId31" /><Relationship Type="http://schemas.openxmlformats.org/officeDocument/2006/relationships/hyperlink" Target="https://www.insurance.ca.gov/01-consumers/140-catastrophes/FloodFacts.cfm" TargetMode="External" Id="rId32" /><Relationship Type="http://schemas.openxmlformats.org/officeDocument/2006/relationships/hyperlink" Target="https://www.insurance.ca.gov/01-consumers/105-type/95-guides/03-res/res-ins-guide.cfm" TargetMode="External" Id="rId33" /><Relationship Type="http://schemas.openxmlformats.org/officeDocument/2006/relationships/hyperlink" Target="https://www.insurance.ca.gov/01-consumers/140-catastrophes/FloodFacts.cfm" TargetMode="External" Id="rId34" /><Relationship Type="http://schemas.openxmlformats.org/officeDocument/2006/relationships/hyperlink" Target="https://www.insurance.ca.gov/01-consumers/105-type/95-guides/03-res/res-ins-guide.cfm" TargetMode="External" Id="rId35" /><Relationship Type="http://schemas.openxmlformats.org/officeDocument/2006/relationships/hyperlink" Target="https://www.insurance.ca.gov/01-consumers/105-type/95-guides/03-res/res-ins-guide.cfm" TargetMode="External" Id="rId36" /><Relationship Type="http://schemas.openxmlformats.org/officeDocument/2006/relationships/hyperlink" Target="https://www.insurance.ca.gov/01-consumers/105-type/95-guides/03-res/res-ins-guide.cfm" TargetMode="External" Id="rId37" /><Relationship Type="http://schemas.openxmlformats.org/officeDocument/2006/relationships/hyperlink" Target="https://www.insurance.ca.gov/0400-news/0100-press-releases/2019/release089-19.cfm" TargetMode="External" Id="rId38" /><Relationship Type="http://schemas.openxmlformats.org/officeDocument/2006/relationships/hyperlink" Target="https://www.kqed.org/news/12094860/california-fair-plan-announces-29-1-rate-hike-for-homeowners-this-fall" TargetMode="External" Id="rId39" /><Relationship Type="http://schemas.openxmlformats.org/officeDocument/2006/relationships/hyperlink" Target="https://insurancenewsnet.com/oarticle/california-fair-plan-rates-going-up-29-1-in-late-2026" TargetMode="External" Id="rId40" /><Relationship Type="http://schemas.openxmlformats.org/officeDocument/2006/relationships/hyperlink" Target="https://www.insurance.ca.gov/01-consumers/180-climate-change/SustainableInsuranceStrategy.cfm" TargetMode="External" Id="rId41" /><Relationship Type="http://schemas.openxmlformats.org/officeDocument/2006/relationships/hyperlink" Target="https://www.insurance.ca.gov/01-consumers/105-type/95-guides/03-res/res-ins-guide.cfm" TargetMode="External" Id="rId42" /><Relationship Type="http://schemas.openxmlformats.org/officeDocument/2006/relationships/hyperlink" Target="https://www.insurance.ca.gov/01-consumers/105-type/95-guides/03-res/res-ins-guide.cfm" TargetMode="External" Id="rId43" /><Relationship Type="http://schemas.openxmlformats.org/officeDocument/2006/relationships/hyperlink" Target="https://www.insurance.ca.gov/01-consumers/105-type/95-guides/03-res/res-ins-guide.cfm" TargetMode="External" Id="rId44" /></Relationships>
</file>

<file path=xl/worksheets/_rels/sheet4.xml.rels><Relationships xmlns="http://schemas.openxmlformats.org/package/2006/relationships"><Relationship Type="http://schemas.openxmlformats.org/officeDocument/2006/relationships/hyperlink" Target="https://www.tdi.texas.gov/pubs/consumer/cb020.html" TargetMode="External" Id="rId1" /><Relationship Type="http://schemas.openxmlformats.org/officeDocument/2006/relationships/hyperlink" Target="https://www.tdi.texas.gov/pubs/consumer/cb020.html" TargetMode="External" Id="rId2" /><Relationship Type="http://schemas.openxmlformats.org/officeDocument/2006/relationships/hyperlink" Target="https://www.ashmorelaw.com/blog/car-insurance-do-you-have-enough-.cfm" TargetMode="External" Id="rId3" /><Relationship Type="http://schemas.openxmlformats.org/officeDocument/2006/relationships/hyperlink" Target="https://www.tdi.texas.gov/pubs/consumer/cb020.html" TargetMode="External" Id="rId4" /><Relationship Type="http://schemas.openxmlformats.org/officeDocument/2006/relationships/hyperlink" Target="https://www.tdi.texas.gov/pubs/consumer/cb020.html" TargetMode="External" Id="rId5" /><Relationship Type="http://schemas.openxmlformats.org/officeDocument/2006/relationships/hyperlink" Target="https://www.tdi.texas.gov/pubs/consumer/cb020.html" TargetMode="External" Id="rId6" /><Relationship Type="http://schemas.openxmlformats.org/officeDocument/2006/relationships/hyperlink" Target="https://www.tdi.texas.gov/pubs/consumer/cb020.html" TargetMode="External" Id="rId7" /><Relationship Type="http://schemas.openxmlformats.org/officeDocument/2006/relationships/hyperlink" Target="https://www.tdi.texas.gov/pubs/consumer/cb020.html" TargetMode="External" Id="rId8" /><Relationship Type="http://schemas.openxmlformats.org/officeDocument/2006/relationships/hyperlink" Target="https://www.tdi.texas.gov/pubs/consumer/cb020.html" TargetMode="External" Id="rId9" /><Relationship Type="http://schemas.openxmlformats.org/officeDocument/2006/relationships/hyperlink" Target="https://www.tdi.texas.gov/pubs/consumer/cb020.html" TargetMode="External" Id="rId10" /><Relationship Type="http://schemas.openxmlformats.org/officeDocument/2006/relationships/hyperlink" Target="https://www.tdi.texas.gov/pubs/consumer/cb020.html" TargetMode="External" Id="rId11" /><Relationship Type="http://schemas.openxmlformats.org/officeDocument/2006/relationships/hyperlink" Target="https://www.tdi.texas.gov/pubs/consumer/cb020.html" TargetMode="External" Id="rId12" /><Relationship Type="http://schemas.openxmlformats.org/officeDocument/2006/relationships/hyperlink" Target="https://www.tdi.texas.gov/pubs/consumer/cb020.html" TargetMode="External" Id="rId13" /><Relationship Type="http://schemas.openxmlformats.org/officeDocument/2006/relationships/hyperlink" Target="https://www.tdi.texas.gov/pubs/consumer/cb020.html" TargetMode="External" Id="rId14" /><Relationship Type="http://schemas.openxmlformats.org/officeDocument/2006/relationships/hyperlink" Target="https://www.tdi.texas.gov/pubs/consumer/cb020.html" TargetMode="External" Id="rId15" /><Relationship Type="http://schemas.openxmlformats.org/officeDocument/2006/relationships/hyperlink" Target="https://www.tdi.texas.gov/pubs/consumer/cb020.html" TargetMode="External" Id="rId16" /><Relationship Type="http://schemas.openxmlformats.org/officeDocument/2006/relationships/hyperlink" Target="https://www.tdi.texas.gov/pubs/consumer/cb020.html" TargetMode="External" Id="rId17" /><Relationship Type="http://schemas.openxmlformats.org/officeDocument/2006/relationships/hyperlink" Target="https://www.tdi.texas.gov/pubs/consumer/cb020.html" TargetMode="External" Id="rId18" /></Relationships>
</file>

<file path=xl/worksheets/_rels/sheet5.xml.rels><Relationships xmlns="http://schemas.openxmlformats.org/package/2006/relationships"><Relationship Type="http://schemas.openxmlformats.org/officeDocument/2006/relationships/hyperlink" Target="https://www.flhsmv.gov/insurance/" TargetMode="External" Id="rId1" /><Relationship Type="http://schemas.openxmlformats.org/officeDocument/2006/relationships/hyperlink" Target="https://www.flhsmv.gov/insurance/" TargetMode="External" Id="rId2" /><Relationship Type="http://schemas.openxmlformats.org/officeDocument/2006/relationships/hyperlink" Target="https://www.flhsmv.gov/insurance/" TargetMode="External" Id="rId3" /><Relationship Type="http://schemas.openxmlformats.org/officeDocument/2006/relationships/hyperlink" Target="https://www.flhsmv.gov/insurance/" TargetMode="External" Id="rId4" /><Relationship Type="http://schemas.openxmlformats.org/officeDocument/2006/relationships/hyperlink" Target="https://www.flhsmv.gov/insurance/" TargetMode="External" Id="rId5" /><Relationship Type="http://schemas.openxmlformats.org/officeDocument/2006/relationships/hyperlink" Target="https://www.flsenate.gov/Laws/Statutes/2022/Chapter324/All" TargetMode="External" Id="rId6" /><Relationship Type="http://schemas.openxmlformats.org/officeDocument/2006/relationships/hyperlink" Target="https://www.vilesandbeckman.com/blog/did-florida-repeal-no-fault-insurance-the-pip-myths-and-the-facts-for-2026/" TargetMode="External" Id="rId7" /><Relationship Type="http://schemas.openxmlformats.org/officeDocument/2006/relationships/hyperlink" Target="https://www.vilesandbeckman.com/blog/did-florida-repeal-no-fault-insurance-the-pip-myths-and-the-facts-for-2026/" TargetMode="External" Id="rId8" /><Relationship Type="http://schemas.openxmlformats.org/officeDocument/2006/relationships/hyperlink" Target="https://www.vilesandbeckman.com/blog/did-florida-repeal-no-fault-insurance-the-pip-myths-and-the-facts-for-2026/" TargetMode="External" Id="rId9" /><Relationship Type="http://schemas.openxmlformats.org/officeDocument/2006/relationships/hyperlink" Target="https://law.justia.com/codes/florida/title-xxxvii/chapter-627/part-xi/section-627-728/" TargetMode="External" Id="rId10" /><Relationship Type="http://schemas.openxmlformats.org/officeDocument/2006/relationships/hyperlink" Target="https://www.flsenate.gov/Laws/Statutes/2025/0626.9741" TargetMode="External" Id="rId11" /><Relationship Type="http://schemas.openxmlformats.org/officeDocument/2006/relationships/hyperlink" Target="https://www.flsenate.gov/Laws/Statutes/2025/Chapter627/All" TargetMode="External" Id="rId12" /><Relationship Type="http://schemas.openxmlformats.org/officeDocument/2006/relationships/hyperlink" Target="https://www.flsenate.gov/Laws/Statutes/2025/Chapter627/All" TargetMode="External" Id="rId13" /></Relationships>
</file>

<file path=xl/worksheets/_rels/sheet6.xml.rels><Relationships xmlns="http://schemas.openxmlformats.org/package/2006/relationships"><Relationship Type="http://schemas.openxmlformats.org/officeDocument/2006/relationships/hyperlink" Target="https://www.dfs.ny.gov/consumers/auto_insurance/Auto_resource_center" TargetMode="External" Id="rId1" /><Relationship Type="http://schemas.openxmlformats.org/officeDocument/2006/relationships/hyperlink" Target="https://www.dfs.ny.gov/consumers/auto_insurance/Auto_resource_center" TargetMode="External" Id="rId2" /><Relationship Type="http://schemas.openxmlformats.org/officeDocument/2006/relationships/hyperlink" Target="https://www.dfs.ny.gov/consumers/auto_insurance/Auto_resource_center" TargetMode="External" Id="rId3" /><Relationship Type="http://schemas.openxmlformats.org/officeDocument/2006/relationships/hyperlink" Target="https://www.dfs.ny.gov/consumers/auto_insurance/Auto_resource_center" TargetMode="External" Id="rId4" /><Relationship Type="http://schemas.openxmlformats.org/officeDocument/2006/relationships/hyperlink" Target="https://www.dfs.ny.gov/consumers/auto_insurance/Auto_resource_center" TargetMode="External" Id="rId5" /><Relationship Type="http://schemas.openxmlformats.org/officeDocument/2006/relationships/hyperlink" Target="https://www.dfs.ny.gov/consumers/auto_insurance/Auto_resource_center" TargetMode="External" Id="rId6" /><Relationship Type="http://schemas.openxmlformats.org/officeDocument/2006/relationships/hyperlink" Target="https://www.dfs.ny.gov/consumers/auto_insurance/Auto_resource_center" TargetMode="External" Id="rId7" /><Relationship Type="http://schemas.openxmlformats.org/officeDocument/2006/relationships/hyperlink" Target="https://www.dfs.ny.gov/faqs/consumer-auto/how-much-auto-insurance-must-i-carry" TargetMode="External" Id="rId8" /><Relationship Type="http://schemas.openxmlformats.org/officeDocument/2006/relationships/hyperlink" Target="https://www.dfs.ny.gov/consumers/auto_insurance/Auto_resource_center" TargetMode="External" Id="rId9" /><Relationship Type="http://schemas.openxmlformats.org/officeDocument/2006/relationships/hyperlink" Target="https://www.dfs.ny.gov/consumers/auto_insurance/Auto_resource_center" TargetMode="External" Id="rId10" /><Relationship Type="http://schemas.openxmlformats.org/officeDocument/2006/relationships/hyperlink" Target="https://www.dfs.ny.gov/consumers/auto_insurance/Auto_resource_center" TargetMode="External" Id="rId11" /><Relationship Type="http://schemas.openxmlformats.org/officeDocument/2006/relationships/hyperlink" Target="https://www.dfs.ny.gov/consumers/auto_insurance/Auto_resource_center" TargetMode="External" Id="rId12" /><Relationship Type="http://schemas.openxmlformats.org/officeDocument/2006/relationships/hyperlink" Target="https://www.dfs.ny.gov/consumers/auto_insurance/Auto_resource_center" TargetMode="External" Id="rId13" /><Relationship Type="http://schemas.openxmlformats.org/officeDocument/2006/relationships/hyperlink" Target="https://www.dfs.ny.gov/consumers/auto_insurance/Auto_resource_center" TargetMode="External" Id="rId14" /><Relationship Type="http://schemas.openxmlformats.org/officeDocument/2006/relationships/hyperlink" Target="https://www.dfs.ny.gov/consumers/auto_insurance/Auto_resource_center" TargetMode="External" Id="rId15" /><Relationship Type="http://schemas.openxmlformats.org/officeDocument/2006/relationships/hyperlink" Target="https://www.dfs.ny.gov/consumers/auto_insurance/Auto_resource_center" TargetMode="External" Id="rId16" /><Relationship Type="http://schemas.openxmlformats.org/officeDocument/2006/relationships/hyperlink" Target="https://www.dfs.ny.gov/consumers/auto_insurance/Auto_resource_center" TargetMode="External" Id="rId17" /><Relationship Type="http://schemas.openxmlformats.org/officeDocument/2006/relationships/hyperlink" Target="https://www.dfs.ny.gov/consumers/auto_insurance/Auto_resource_center" TargetMode="External" Id="rId18" /><Relationship Type="http://schemas.openxmlformats.org/officeDocument/2006/relationships/hyperlink" Target="https://www.dfs.ny.gov/consumers/auto_insurance/Auto_resource_center" TargetMode="External" Id="rId19" /><Relationship Type="http://schemas.openxmlformats.org/officeDocument/2006/relationships/hyperlink" Target="https://www.dfs.ny.gov/consumers/auto_insurance/Auto_resource_center" TargetMode="External" Id="rId20" /><Relationship Type="http://schemas.openxmlformats.org/officeDocument/2006/relationships/hyperlink" Target="https://www.dfs.ny.gov/consumers/auto_insurance/Auto_resource_center" TargetMode="External" Id="rId21" /><Relationship Type="http://schemas.openxmlformats.org/officeDocument/2006/relationships/hyperlink" Target="https://www.dfs.ny.gov/consumers/auto_insurance/Auto_resource_center" TargetMode="External" Id="rId22" /></Relationships>
</file>

<file path=xl/worksheets/_rels/sheet7.xml.rels><Relationships xmlns="http://schemas.openxmlformats.org/package/2006/relationships"><Relationship Type="http://schemas.openxmlformats.org/officeDocument/2006/relationships/hyperlink" Target="https://www.tdi.texas.gov/pubs/consumer/cb025.html" TargetMode="External" Id="rId1" /><Relationship Type="http://schemas.openxmlformats.org/officeDocument/2006/relationships/hyperlink" Target="https://www.tdi.texas.gov/pubs/consumer/cb025.html" TargetMode="External" Id="rId2" /><Relationship Type="http://schemas.openxmlformats.org/officeDocument/2006/relationships/hyperlink" Target="https://www.tdi.texas.gov/pubs/consumer/cb025.html" TargetMode="External" Id="rId3" /><Relationship Type="http://schemas.openxmlformats.org/officeDocument/2006/relationships/hyperlink" Target="https://www.tdi.texas.gov/pubs/consumer/cb025.html" TargetMode="External" Id="rId4" /><Relationship Type="http://schemas.openxmlformats.org/officeDocument/2006/relationships/hyperlink" Target="https://tdi.texas.gov/blog/category/home-property.html" TargetMode="External" Id="rId5" /><Relationship Type="http://schemas.openxmlformats.org/officeDocument/2006/relationships/hyperlink" Target="https://www.tdi.texas.gov/pubs/consumer/cb025.html" TargetMode="External" Id="rId6" /><Relationship Type="http://schemas.openxmlformats.org/officeDocument/2006/relationships/hyperlink" Target="https://www.tdi.texas.gov/general/texas-homeowners-insurance-market-overview.html" TargetMode="External" Id="rId7" /><Relationship Type="http://schemas.openxmlformats.org/officeDocument/2006/relationships/hyperlink" Target="https://www.twia.org/flood-requirement/" TargetMode="External" Id="rId8" /><Relationship Type="http://schemas.openxmlformats.org/officeDocument/2006/relationships/hyperlink" Target="https://www.tdi.texas.gov/pubs/consumer/cb025.html" TargetMode="External" Id="rId9" /><Relationship Type="http://schemas.openxmlformats.org/officeDocument/2006/relationships/hyperlink" Target="https://tdi.texas.gov/blog/category/home-property.html" TargetMode="External" Id="rId10" /><Relationship Type="http://schemas.openxmlformats.org/officeDocument/2006/relationships/hyperlink" Target="https://www.latentinsure.com/texas-homeowners-insurance/twia" TargetMode="External" Id="rId11" /><Relationship Type="http://schemas.openxmlformats.org/officeDocument/2006/relationships/hyperlink" Target="https://www.tdi.texas.gov/pubs/consumer/cb025.html" TargetMode="External" Id="rId12" /><Relationship Type="http://schemas.openxmlformats.org/officeDocument/2006/relationships/hyperlink" Target="https://tdi.texas.gov/blog/category/home-property.html" TargetMode="External" Id="rId13" /><Relationship Type="http://schemas.openxmlformats.org/officeDocument/2006/relationships/hyperlink" Target="https://www.tdi.texas.gov/pubs/consumer/cb025.html" TargetMode="External" Id="rId14" /><Relationship Type="http://schemas.openxmlformats.org/officeDocument/2006/relationships/hyperlink" Target="https://aegivra.com/guides/texas-homeowners-insurance-guide" TargetMode="External" Id="rId15" /><Relationship Type="http://schemas.openxmlformats.org/officeDocument/2006/relationships/hyperlink" Target="https://aegivra.com/guides/texas-homeowners-insurance-guide" TargetMode="External" Id="rId16" /></Relationships>
</file>

<file path=xl/worksheets/_rels/sheet8.xml.rels><Relationships xmlns="http://schemas.openxmlformats.org/package/2006/relationships"><Relationship Type="http://schemas.openxmlformats.org/officeDocument/2006/relationships/hyperlink" Target="https://codes.findlaw.com/fl/title-xxxvii-insurance/fl-st-sect-627-701/" TargetMode="External" Id="rId1" /><Relationship Type="http://schemas.openxmlformats.org/officeDocument/2006/relationships/hyperlink" Target="https://www.myfloridacfo.com/division/consumers/consumerprotections/floridashurricanedeductible" TargetMode="External" Id="rId2" /><Relationship Type="http://schemas.openxmlformats.org/officeDocument/2006/relationships/hyperlink" Target="https://www.myfloridacfo.com/division/consumers/consumerprotections/floridashurricanedeductible" TargetMode="External" Id="rId3" /><Relationship Type="http://schemas.openxmlformats.org/officeDocument/2006/relationships/hyperlink" Target="https://www.myfloridacfo.com/division/consumers/consumerprotections/floridashurricanedeductible" TargetMode="External" Id="rId4" /><Relationship Type="http://schemas.openxmlformats.org/officeDocument/2006/relationships/hyperlink" Target="https://codes.findlaw.com/fl/title-xxxvii-insurance/fl-st-sect-627-701/" TargetMode="External" Id="rId5" /><Relationship Type="http://schemas.openxmlformats.org/officeDocument/2006/relationships/hyperlink" Target="https://codes.findlaw.com/fl/title-xxxvii-insurance/fl-st-sect-627-701/" TargetMode="External" Id="rId6" /><Relationship Type="http://schemas.openxmlformats.org/officeDocument/2006/relationships/hyperlink" Target="https://coverageclassroom.com/learn/hurricane-insurance-florida-guide" TargetMode="External" Id="rId7" /><Relationship Type="http://schemas.openxmlformats.org/officeDocument/2006/relationships/hyperlink" Target="https://coverageclassroom.com/learn/citizens-flood-insurance-requirement" TargetMode="External" Id="rId8" /><Relationship Type="http://schemas.openxmlformats.org/officeDocument/2006/relationships/hyperlink" Target="https://www.cigflorida.com/policy-updates-for-florida-homeowners/" TargetMode="External" Id="rId9" /><Relationship Type="http://schemas.openxmlformats.org/officeDocument/2006/relationships/hyperlink" Target="https://www.cigflorida.com/policy-updates-for-florida-homeowners/" TargetMode="External" Id="rId10" /><Relationship Type="http://schemas.openxmlformats.org/officeDocument/2006/relationships/hyperlink" Target="https://coverageclassroom.com/learn/citizens-flood-insurance-requirement" TargetMode="External" Id="rId11" /><Relationship Type="http://schemas.openxmlformats.org/officeDocument/2006/relationships/hyperlink" Target="https://coverageclassroom.com/learn/hurricane-insurance-florida-guide" TargetMode="External" Id="rId12" /></Relationships>
</file>

<file path=xl/worksheets/_rels/sheet9.xml.rels><Relationships xmlns="http://schemas.openxmlformats.org/package/2006/relationships"><Relationship Type="http://schemas.openxmlformats.org/officeDocument/2006/relationships/hyperlink" Target="https://www.insurancegeek.com/auto-insurance/state-minimum-car-insurance-limits/" TargetMode="External" Id="rId1" /><Relationship Type="http://schemas.openxmlformats.org/officeDocument/2006/relationships/hyperlink" Target="https://www.dmv.ca.gov/portal/vehicle-registration/insurance-requirements/" TargetMode="External" Id="rId2" /><Relationship Type="http://schemas.openxmlformats.org/officeDocument/2006/relationships/hyperlink" Target="https://www.flhsmv.gov/insurance/" TargetMode="External" Id="rId3" /><Relationship Type="http://schemas.openxmlformats.org/officeDocument/2006/relationships/hyperlink" Target="https://beachinsurancellc.com/blog/state-minimum-car-insurance-requirements-for-2026-your-essential-guide" TargetMode="External" Id="rId4" /><Relationship Type="http://schemas.openxmlformats.org/officeDocument/2006/relationships/hyperlink" Target="https://coveragecriteria.com/articles/minimum-auto-insurance-by-state" TargetMode="External" Id="rId5" /><Relationship Type="http://schemas.openxmlformats.org/officeDocument/2006/relationships/hyperlink" Target="https://www.autoinsurance.org/car-insurance-requirements/" TargetMode="External" Id="rId6" /><Relationship Type="http://schemas.openxmlformats.org/officeDocument/2006/relationships/hyperlink" Target="https://coveragecriteria.com/articles/minimum-auto-insurance-by-state" TargetMode="External" Id="rId7" /><Relationship Type="http://schemas.openxmlformats.org/officeDocument/2006/relationships/hyperlink" Target="https://www.insurancegeek.com/auto-insurance/state-minimum-car-insurance-limits/" TargetMode="External" Id="rId8" /><Relationship Type="http://schemas.openxmlformats.org/officeDocument/2006/relationships/hyperlink" Target="https://coveragecriteria.com/articles/minimum-auto-insurance-by-state" TargetMode="External" Id="rId9" /><Relationship Type="http://schemas.openxmlformats.org/officeDocument/2006/relationships/hyperlink" Target="https://www.cnbc.com/select/state-minimum-car-insurance-requirements/" TargetMode="External" Id="rId10" /><Relationship Type="http://schemas.openxmlformats.org/officeDocument/2006/relationships/hyperlink" Target="https://www.carinsurance.com/Articles/minimum-liability-car-insurance-requirements-by-state.aspx" TargetMode="External" Id="rId11" /><Relationship Type="http://schemas.openxmlformats.org/officeDocument/2006/relationships/hyperlink" Target="https://www.dfs.ny.gov/consumers/auto_insurance/Auto_resource_center" TargetMode="External" Id="rId12" /><Relationship Type="http://schemas.openxmlformats.org/officeDocument/2006/relationships/hyperlink" Target="https://www.carinsurance.com/Articles/minimum-liability-car-insurance-requirements-by-state.aspx" TargetMode="External" Id="rId13" /><Relationship Type="http://schemas.openxmlformats.org/officeDocument/2006/relationships/hyperlink" Target="https://beachinsurancellc.com/blog/state-minimum-car-insurance-requirements-for-2026-your-essential-guide" TargetMode="External" Id="rId14" /><Relationship Type="http://schemas.openxmlformats.org/officeDocument/2006/relationships/hyperlink" Target="https://www.autoinsurance.org/car-insurance-requirements/" TargetMode="External" Id="rId15" /><Relationship Type="http://schemas.openxmlformats.org/officeDocument/2006/relationships/hyperlink" Target="https://www.tdi.texas.gov/pubs/consumer/cb020.html" TargetMode="External" Id="rId16" /><Relationship Type="http://schemas.openxmlformats.org/officeDocument/2006/relationships/hyperlink" Target="https://www.carinsurance.com/Articles/minimum-liability-car-insurance-requirements-by-state.aspx" TargetMode="External" Id="rId17" /><Relationship Type="http://schemas.openxmlformats.org/officeDocument/2006/relationships/hyperlink" Target="https://www.autoinsurance.org/car-insurance-requirements/" TargetMode="External" Id="rId18" /><Relationship Type="http://schemas.openxmlformats.org/officeDocument/2006/relationships/hyperlink" Target="https://www.carinsurance.com/Articles/minimum-liability-car-insurance-requirements-by-state.aspx" TargetMode="External" Id="rId19" /></Relationships>
</file>

<file path=xl/worksheets/_rels/sheet10.xml.rels><Relationships xmlns="http://schemas.openxmlformats.org/package/2006/relationships"><Relationship Type="http://schemas.openxmlformats.org/officeDocument/2006/relationships/hyperlink" Target="https://www.law.cornell.edu/regulations/california/10-CCR-2632.5" TargetMode="External" Id="rId1" /><Relationship Type="http://schemas.openxmlformats.org/officeDocument/2006/relationships/hyperlink" Target="https://uphelp.org/should-states-ban-credit-based-insurance-scoring/" TargetMode="External" Id="rId2" /><Relationship Type="http://schemas.openxmlformats.org/officeDocument/2006/relationships/hyperlink" Target="https://www.newsweek.com/where-your-credit-score-can-cant-raise-insurance-costs-11885672" TargetMode="External" Id="rId3" /><Relationship Type="http://schemas.openxmlformats.org/officeDocument/2006/relationships/hyperlink" Target="https://www.tdi.texas.gov/pubs/consumer/cb020.html" TargetMode="External" Id="rId4" /><Relationship Type="http://schemas.openxmlformats.org/officeDocument/2006/relationships/hyperlink" Target="https://www.flsenate.gov/Laws/Statutes/2025/0626.9741" TargetMode="External" Id="rId5" /><Relationship Type="http://schemas.openxmlformats.org/officeDocument/2006/relationships/hyperlink" Target="https://www.dfs.ny.gov/consumers/auto_insurance/Auto_resource_center" TargetMode="External" Id="rId6" /><Relationship Type="http://schemas.openxmlformats.org/officeDocument/2006/relationships/hyperlink" Target="https://www.thezebra.com/resources/research/car-insurance-rating-factors-by-state/" TargetMode="External" Id="rId7" /><Relationship Type="http://schemas.openxmlformats.org/officeDocument/2006/relationships/hyperlink" Target="https://www.experian.com/blogs/ask-experian/which-states-prohibit-or-restrict-the-use-of-credit-based-insurance-scores/" TargetMode="External" Id="rId8" /><Relationship Type="http://schemas.openxmlformats.org/officeDocument/2006/relationships/hyperlink" Target="https://www.cnbc.com/2026/04/26/insurance-rates-credit-history.html" TargetMode="External" Id="rId9" /><Relationship Type="http://schemas.openxmlformats.org/officeDocument/2006/relationships/hyperlink" Target="https://www.experian.com/blogs/ask-experian/which-states-prohibit-or-restrict-the-use-of-credit-based-insurance-scores/" TargetMode="External" Id="rId10" /><Relationship Type="http://schemas.openxmlformats.org/officeDocument/2006/relationships/hyperlink" Target="https://www.experian.com/blogs/ask-experian/which-states-prohibit-or-restrict-the-use-of-credit-based-insurance-scores/" TargetMode="External" Id="rId11" /><Relationship Type="http://schemas.openxmlformats.org/officeDocument/2006/relationships/hyperlink" Target="https://www.moneygeek.com/insurance/auto/which-insurance-companies-dont-check-credit-score/" TargetMode="External" Id="rId12" /><Relationship Type="http://schemas.openxmlformats.org/officeDocument/2006/relationships/hyperlink" Target="https://www.experian.com/blogs/ask-experian/which-states-prohibit-or-restrict-the-use-of-credit-based-insurance-scores/" TargetMode="External" Id="rId13" /></Relationships>
</file>

<file path=xl/worksheets/_rels/sheet11.xml.rels><Relationships xmlns="http://schemas.openxmlformats.org/package/2006/relationships"><Relationship Type="http://schemas.openxmlformats.org/officeDocument/2006/relationships/hyperlink" Target="https://www.dfs.ny.gov/consumers/auto_insurance/discounts_list" TargetMode="External" Id="rId1" /><Relationship Type="http://schemas.openxmlformats.org/officeDocument/2006/relationships/hyperlink" Target="https://www.dfs.ny.gov/consumers/auto_insurance/discounts_list" TargetMode="External" Id="rId2" /><Relationship Type="http://schemas.openxmlformats.org/officeDocument/2006/relationships/hyperlink" Target="https://www.dfs.ny.gov/consumers/auto_insurance/discounts_list" TargetMode="External" Id="rId3" /><Relationship Type="http://schemas.openxmlformats.org/officeDocument/2006/relationships/hyperlink" Target="https://www.dfs.ny.gov/consumers/auto_insurance/discounts_list" TargetMode="External" Id="rId4" /><Relationship Type="http://schemas.openxmlformats.org/officeDocument/2006/relationships/hyperlink" Target="https://www.dfs.ny.gov/consumers/auto_insurance/discounts_list" TargetMode="External" Id="rId5" /><Relationship Type="http://schemas.openxmlformats.org/officeDocument/2006/relationships/hyperlink" Target="https://www.dfs.ny.gov/consumers/auto_insurance/discounts_list" TargetMode="External" Id="rId6" /><Relationship Type="http://schemas.openxmlformats.org/officeDocument/2006/relationships/hyperlink" Target="https://www.moneygeek.com/insurance/auto/defensive-driver-courses/" TargetMode="External" Id="rId7" /><Relationship Type="http://schemas.openxmlformats.org/officeDocument/2006/relationships/hyperlink" Target="https://www.moneygeek.com/insurance/auto/defensive-driver-courses/" TargetMode="External" Id="rId8" /><Relationship Type="http://schemas.openxmlformats.org/officeDocument/2006/relationships/hyperlink" Target="https://www.geico.com/save/discounts/defensive-driver-discounts/" TargetMode="External" Id="rId9" /><Relationship Type="http://schemas.openxmlformats.org/officeDocument/2006/relationships/hyperlink" Target="https://www.geico.com/save/discounts/defensive-driver-discounts/" TargetMode="External" Id="rId10" /><Relationship Type="http://schemas.openxmlformats.org/officeDocument/2006/relationships/hyperlink" Target="https://www.geico.com/save/discounts/defensive-driver-discounts/" TargetMode="External" Id="rId11" /><Relationship Type="http://schemas.openxmlformats.org/officeDocument/2006/relationships/hyperlink" Target="https://www.moneygeek.com/insurance/auto/defensive-driver-courses/" TargetMode="External" Id="rId12" /><Relationship Type="http://schemas.openxmlformats.org/officeDocument/2006/relationships/hyperlink" Target="https://www.insurance.ca.gov/01-consumers/105-type/95-guides/01-auto/auto101.cfm" TargetMode="External" Id="rId13" /><Relationship Type="http://schemas.openxmlformats.org/officeDocument/2006/relationships/hyperlink" Target="https://www.insurance.ca.gov/0250-insurers/0300-insurers/0200-bulletins/bulletin-notices-commiss-opinion/upload/Advisory-Notice-2005-02.pdf" TargetMode="External" Id="rId14" /><Relationship Type="http://schemas.openxmlformats.org/officeDocument/2006/relationships/hyperlink" Target="https://codes.findlaw.com/ca/insurance-code/ins-sect-11628-3/" TargetMode="External" Id="rId15" /><Relationship Type="http://schemas.openxmlformats.org/officeDocument/2006/relationships/hyperlink" Target="https://www.insurance.ca.gov/0250-insurers/0300-insurers/0200-bulletins/bulletin-notices-commiss-opinion/upload/Advisory-Notice-2005-02.pdf" TargetMode="External" Id="rId16" /><Relationship Type="http://schemas.openxmlformats.org/officeDocument/2006/relationships/hyperlink" Target="https://www.dfs.ny.gov/consumers/auto_insurance/Auto_resource_center" TargetMode="External" Id="rId17" /><Relationship Type="http://schemas.openxmlformats.org/officeDocument/2006/relationships/hyperlink" Target="https://www.dfs.ny.gov/consumers/auto_insurance/Auto_resource_center" TargetMode="External" Id="rId18" /><Relationship Type="http://schemas.openxmlformats.org/officeDocument/2006/relationships/hyperlink" Target="https://www.dfs.ny.gov/consumers/auto_insurance/Auto_resource_center" TargetMode="External" Id="rId19" /><Relationship Type="http://schemas.openxmlformats.org/officeDocument/2006/relationships/hyperlink" Target="https://www.tdi.texas.gov/pubs/consumer/cb020.html" TargetMode="External" Id="rId20" /><Relationship Type="http://schemas.openxmlformats.org/officeDocument/2006/relationships/hyperlink" Target="https://flsenate.gov/Laws/Statutes/2003/627.06501" TargetMode="External" Id="rId21" /><Relationship Type="http://schemas.openxmlformats.org/officeDocument/2006/relationships/hyperlink" Target="https://www.flsenate.gov/laws/statutes/2012/627.0652" TargetMode="External" Id="rId22" /><Relationship Type="http://schemas.openxmlformats.org/officeDocument/2006/relationships/hyperlink" Target="https://www.flsenate.gov/Laws/Statutes/2025/Chapter627/All" TargetMode="External" Id="rId23" /><Relationship Type="http://schemas.openxmlformats.org/officeDocument/2006/relationships/hyperlink" Target="https://www.safedriver.com/news/defensive-driving-for-insurance-discount-2026-how-much-you-can-really-save" TargetMode="External" Id="rId24" /><Relationship Type="http://schemas.openxmlformats.org/officeDocument/2006/relationships/hyperlink" Target="https://www.insurance.com/auto-insurance/car-insurance-discounts.html" TargetMode="External" Id="rId25" /><Relationship Type="http://schemas.openxmlformats.org/officeDocument/2006/relationships/hyperlink" Target="https://www.insurance.com/auto-insurance/car-insurance-discounts.html" TargetMode="External" Id="rId26" /><Relationship Type="http://schemas.openxmlformats.org/officeDocument/2006/relationships/hyperlink" Target="https://www.insurance.com/auto-insurance/car-insurance-discounts.html" TargetMode="External" Id="rId27" /><Relationship Type="http://schemas.openxmlformats.org/officeDocument/2006/relationships/hyperlink" Target="https://www.insurance.com/auto-insurance/car-insurance-discounts.html" TargetMode="External" Id="rId28" /><Relationship Type="http://schemas.openxmlformats.org/officeDocument/2006/relationships/hyperlink" Target="https://www.statefarm.com/insurance/auto/discounts" TargetMode="External" Id="rId29" /><Relationship Type="http://schemas.openxmlformats.org/officeDocument/2006/relationships/hyperlink" Target="https://insurify.com/car-insurance/coverage/telematics/" TargetMode="External" Id="rId30" /></Relationships>
</file>

<file path=xl/worksheets/_rels/sheet12.xml.rels><Relationships xmlns="http://schemas.openxmlformats.org/package/2006/relationships"><Relationship Type="http://schemas.openxmlformats.org/officeDocument/2006/relationships/hyperlink" Target="https://www.bankrate.com/insurance/car/are-telematics-programs-worth-the-discount/" TargetMode="External" Id="rId1" /><Relationship Type="http://schemas.openxmlformats.org/officeDocument/2006/relationships/hyperlink" Target="https://insurify.com/car-insurance/coverage/telematics/" TargetMode="External" Id="rId2" /><Relationship Type="http://schemas.openxmlformats.org/officeDocument/2006/relationships/hyperlink" Target="https://www.insuremojo.com/telematics-insurance-discount-programs/" TargetMode="External" Id="rId3" /><Relationship Type="http://schemas.openxmlformats.org/officeDocument/2006/relationships/hyperlink" Target="https://insurify.com/car-insurance/coverage/telematics/" TargetMode="External" Id="rId4" /><Relationship Type="http://schemas.openxmlformats.org/officeDocument/2006/relationships/hyperlink" Target="https://www.bankrate.com/insurance/car/are-telematics-programs-worth-the-discount/" TargetMode="External" Id="rId5" /><Relationship Type="http://schemas.openxmlformats.org/officeDocument/2006/relationships/hyperlink" Target="https://www.bankrate.com/insurance/car/are-telematics-programs-worth-the-discount/" TargetMode="External" Id="rId6" /><Relationship Type="http://schemas.openxmlformats.org/officeDocument/2006/relationships/hyperlink" Target="https://www.bankrate.com/insurance/car/are-telematics-programs-worth-the-discount/" TargetMode="External" Id="rId7" /><Relationship Type="http://schemas.openxmlformats.org/officeDocument/2006/relationships/hyperlink" Target="https://www.quoteyeti.com/blog/telematics-tradeoffs/" TargetMode="External" Id="rId8" /><Relationship Type="http://schemas.openxmlformats.org/officeDocument/2006/relationships/hyperlink" Target="https://www.dfs.ny.gov/consumers/auto_insurance/Auto_resource_center" TargetMode="External" Id="rId9" /><Relationship Type="http://schemas.openxmlformats.org/officeDocument/2006/relationships/hyperlink" Target="https://www.tdi.texas.gov/pubs/consumer/cb020.html" TargetMode="External" Id="rId10" /></Relationships>
</file>

<file path=xl/worksheets/_rels/sheet13.xml.rels><Relationships xmlns="http://schemas.openxmlformats.org/package/2006/relationships"><Relationship Type="http://schemas.openxmlformats.org/officeDocument/2006/relationships/hyperlink" Target="https://content.naic.org/sites/default/files/consumer-auto-shopping-tool.pdf" TargetMode="External" Id="rId1" /><Relationship Type="http://schemas.openxmlformats.org/officeDocument/2006/relationships/hyperlink" Target="https://thelendersnetwork.com/flood-insurance-mortgage-requirements/" TargetMode="External" Id="rId2" /><Relationship Type="http://schemas.openxmlformats.org/officeDocument/2006/relationships/hyperlink" Target="https://thelendersnetwork.com/flood-insurance-mortgage-requirements/" TargetMode="External" Id="rId3" /><Relationship Type="http://schemas.openxmlformats.org/officeDocument/2006/relationships/hyperlink" Target="https://thelendersnetwork.com/flood-insurance-mortgage-requirements/" TargetMode="External" Id="rId4" /><Relationship Type="http://schemas.openxmlformats.org/officeDocument/2006/relationships/hyperlink" Target="https://thelendersnetwork.com/flood-insurance-mortgage-requirements/" TargetMode="External" Id="rId5" /><Relationship Type="http://schemas.openxmlformats.org/officeDocument/2006/relationships/hyperlink" Target="https://walletgrower.com/insurance/homeowners-insurance/flood-insurance" TargetMode="External" Id="rId6" /><Relationship Type="http://schemas.openxmlformats.org/officeDocument/2006/relationships/hyperlink" Target="https://atesariskadvisors.com/blog/florida-private-flood-insurance-vs-nfip-2026" TargetMode="External" Id="rId7" /><Relationship Type="http://schemas.openxmlformats.org/officeDocument/2006/relationships/hyperlink" Target="https://www.congress.gov/crs-product/R49353" TargetMode="External" Id="rId8" /><Relationship Type="http://schemas.openxmlformats.org/officeDocument/2006/relationships/hyperlink" Target="https://walletgrower.com/insurance/homeowners-insurance/flood-insurance" TargetMode="External" Id="rId9" /><Relationship Type="http://schemas.openxmlformats.org/officeDocument/2006/relationships/hyperlink" Target="https://walletgrower.com/insurance/homeowners-insurance/flood-insurance" TargetMode="External" Id="rId10" /><Relationship Type="http://schemas.openxmlformats.org/officeDocument/2006/relationships/hyperlink" Target="https://www.earthquakeauthority.com/california-earthquake-insurance-policies/homeowners" TargetMode="External" Id="rId11" /><Relationship Type="http://schemas.openxmlformats.org/officeDocument/2006/relationships/hyperlink" Target="https://expressfinancial.net/p/earthquake-insurance-california" TargetMode="External" Id="rId12" /><Relationship Type="http://schemas.openxmlformats.org/officeDocument/2006/relationships/hyperlink" Target="https://www.earthquakeauthority.com/california-earthquake-insurance-policies/homeowners" TargetMode="External" Id="rId13" /><Relationship Type="http://schemas.openxmlformats.org/officeDocument/2006/relationships/hyperlink" Target="https://www.earthquakeauthority.com/california-earthquake-insurance-policies/homeowners" TargetMode="External" Id="rId14" /><Relationship Type="http://schemas.openxmlformats.org/officeDocument/2006/relationships/hyperlink" Target="https://expressfinancial.net/p/earthquake-insurance-california" TargetMode="External" Id="rId15" /><Relationship Type="http://schemas.openxmlformats.org/officeDocument/2006/relationships/hyperlink" Target="https://www.earthquakenearme.com/en/blog/earthquake-insurance-california" TargetMode="External" Id="rId16" /><Relationship Type="http://schemas.openxmlformats.org/officeDocument/2006/relationships/hyperlink" Target="https://www.earthquakenearme.com/en/blog/earthquake-insurance-california" TargetMode="External" Id="rId17" /><Relationship Type="http://schemas.openxmlformats.org/officeDocument/2006/relationships/hyperlink" Target="https://expressfinancial.net/p/earthquake-insurance-california" TargetMode="External" Id="rId18" /><Relationship Type="http://schemas.openxmlformats.org/officeDocument/2006/relationships/hyperlink" Target="https://www.nerdwallet.com/insurance/homeowners/learn/umbrella-insurance" TargetMode="External" Id="rId19" /><Relationship Type="http://schemas.openxmlformats.org/officeDocument/2006/relationships/hyperlink" Target="https://www.realcostreport.com/insurance/home-insurance/umbrella-insurance-cost/" TargetMode="External" Id="rId20" /><Relationship Type="http://schemas.openxmlformats.org/officeDocument/2006/relationships/hyperlink" Target="https://usecalcpro.com/finance/umbrella-insurance-quote-calculator" TargetMode="External" Id="rId21" /><Relationship Type="http://schemas.openxmlformats.org/officeDocument/2006/relationships/hyperlink" Target="https://www.kiplinger.com/personal-finance/insurance/umbrella-insurance/603237/how-much-umbrella-insurance-do-i-need" TargetMode="External" Id="rId22" /><Relationship Type="http://schemas.openxmlformats.org/officeDocument/2006/relationships/hyperlink" Target="https://www.realcostreport.com/insurance/home-insurance/umbrella-insurance-cost/" TargetMode="External" Id="rId23" /></Relationships>
</file>

<file path=xl/worksheets/_rels/sheet14.xml.rels><Relationships xmlns="http://schemas.openxmlformats.org/package/2006/relationships"><Relationship Type="http://schemas.openxmlformats.org/officeDocument/2006/relationships/hyperlink" Target="https://insurtool.com/tools/average-car-insurance-cost/" TargetMode="External" Id="rId1" /><Relationship Type="http://schemas.openxmlformats.org/officeDocument/2006/relationships/hyperlink" Target="https://insurify.com/car-insurance/report/" TargetMode="External" Id="rId2" /><Relationship Type="http://schemas.openxmlformats.org/officeDocument/2006/relationships/hyperlink" Target="https://www.valuepenguin.com/state-of-auto-insurance-2026" TargetMode="External" Id="rId3" /><Relationship Type="http://schemas.openxmlformats.org/officeDocument/2006/relationships/hyperlink" Target="https://cincoautoinsurance.com/auto-insurance/cost/" TargetMode="External" Id="rId4" /><Relationship Type="http://schemas.openxmlformats.org/officeDocument/2006/relationships/hyperlink" Target="https://www.experian.com/blogs/ask-experian/average-cost-car-insurance/" TargetMode="External" Id="rId5" /><Relationship Type="http://schemas.openxmlformats.org/officeDocument/2006/relationships/hyperlink" Target="https://cincoautoinsurance.com/auto-insurance/cost/" TargetMode="External" Id="rId6" /><Relationship Type="http://schemas.openxmlformats.org/officeDocument/2006/relationships/hyperlink" Target="https://www.insuredbetter.com/car-insurance/compare-auto-coverage/rate-cost/" TargetMode="External" Id="rId7" /><Relationship Type="http://schemas.openxmlformats.org/officeDocument/2006/relationships/hyperlink" Target="https://www.experian.com/blogs/ask-experian/average-cost-car-insurance/" TargetMode="External" Id="rId8" /><Relationship Type="http://schemas.openxmlformats.org/officeDocument/2006/relationships/hyperlink" Target="https://www.experian.com/blogs/ask-experian/average-cost-car-insurance/" TargetMode="External" Id="rId9" /><Relationship Type="http://schemas.openxmlformats.org/officeDocument/2006/relationships/hyperlink" Target="https://www.usnews.com/insurance/auto/average-cost-of-car-insurance" TargetMode="External" Id="rId10" /><Relationship Type="http://schemas.openxmlformats.org/officeDocument/2006/relationships/hyperlink" Target="https://www.nerdwallet.com/insurance/homeowners/learn/average-homeowners-insurance-cost" TargetMode="External" Id="rId11" /><Relationship Type="http://schemas.openxmlformats.org/officeDocument/2006/relationships/hyperlink" Target="https://insurify.com/homeowners-insurance/insights/rates-increase-first-half-2026/" TargetMode="External" Id="rId12" /><Relationship Type="http://schemas.openxmlformats.org/officeDocument/2006/relationships/hyperlink" Target="https://insurify.com/homeowners-insurance/insights/rates-increase-first-half-2026/" TargetMode="External" Id="rId13" /></Relationships>
</file>

<file path=xl/worksheets/_rels/sheet15.xml.rels><Relationships xmlns="http://schemas.openxmlformats.org/package/2006/relationships"><Relationship Type="http://schemas.openxmlformats.org/officeDocument/2006/relationships/hyperlink" Target="https://techsavvyinsurance.com/answers/which-states-adopted-naic-ai-model-bulletin/" TargetMode="External" Id="rId1" /><Relationship Type="http://schemas.openxmlformats.org/officeDocument/2006/relationships/hyperlink" Target="https://www.meilynx.com/reference/naic-ai-model-bulletin" TargetMode="External" Id="rId2" /><Relationship Type="http://schemas.openxmlformats.org/officeDocument/2006/relationships/hyperlink" Target="https://actuary.info/insights/ai-regulation-insurance-naic-2026" TargetMode="External" Id="rId3" /><Relationship Type="http://schemas.openxmlformats.org/officeDocument/2006/relationships/hyperlink" Target="https://www.leaddistro.ai/blog/one-to-one-consent" TargetMode="External" Id="rId4" /><Relationship Type="http://schemas.openxmlformats.org/officeDocument/2006/relationships/hyperlink" Target="https://www.getinsureleads.com/blog/fcc-one-to-one-consent-rule-status-update-2026" TargetMode="External" Id="rId5" /><Relationship Type="http://schemas.openxmlformats.org/officeDocument/2006/relationships/hyperlink" Target="https://www.congress.gov/crs-product/IN10835" TargetMode="External" Id="rId6" /><Relationship Type="http://schemas.openxmlformats.org/officeDocument/2006/relationships/hyperlink" Target="https://www.insurance.ca.gov/01-consumers/180-climate-change/SustainableInsuranceStrategy.cfm" TargetMode="External" Id="rId7" /><Relationship Type="http://schemas.openxmlformats.org/officeDocument/2006/relationships/hyperlink" Target="https://www.insurance.ca.gov/0400-news/0100-press-releases/2025/release079-2025.cfm" TargetMode="External" Id="rId8" /><Relationship Type="http://schemas.openxmlformats.org/officeDocument/2006/relationships/hyperlink" Target="https://www.vilesandbeckman.com/blog/did-florida-repeal-no-fault-insurance-the-pip-myths-and-the-facts-for-2026/" TargetMode="External" Id="rId9" /><Relationship Type="http://schemas.openxmlformats.org/officeDocument/2006/relationships/hyperlink" Target="https://www.tdi.texas.gov/pubs/consumer/cb020.html" TargetMode="External" Id="rId10" /><Relationship Type="http://schemas.openxmlformats.org/officeDocument/2006/relationships/hyperlink" Target="https://coverageclassroom.com/learn/citizens-flood-insurance-requirement" TargetMode="External" Id="rId11" /><Relationship Type="http://schemas.openxmlformats.org/officeDocument/2006/relationships/hyperlink" Target="https://www.insuremojo.com/telematics-insurance-data-privacy-bills-2026/" TargetMode="External" Id="rId12" /><Relationship Type="http://schemas.openxmlformats.org/officeDocument/2006/relationships/hyperlink" Target="https://www.carinsurance.com/Articles/minimum-liability-car-insurance-requirements-by-state.aspx" TargetMode="External" Id="rId13" /><Relationship Type="http://schemas.openxmlformats.org/officeDocument/2006/relationships/hyperlink" Target="https://www.moneygeek.com/insurance/auto/which-insurance-companies-dont-check-credit-score/" TargetMode="External" Id="rId14" /></Relationships>
</file>

<file path=xl/worksheets/_rels/sheet16.xml.rels><Relationships xmlns="http://schemas.openxmlformats.org/package/2006/relationships"><Relationship Type="http://schemas.openxmlformats.org/officeDocument/2006/relationships/hyperlink" Target="https://www.thezebra.com/" TargetMode="External" Id="rId1" /><Relationship Type="http://schemas.openxmlformats.org/officeDocument/2006/relationships/hyperlink" Target="https://insurify.com/car-insurance/" TargetMode="External" Id="rId2" /><Relationship Type="http://schemas.openxmlformats.org/officeDocument/2006/relationships/hyperlink" Target="https://www.compare.com/auto-insurance/compare-insurance-companies/best-car-insurance-comparison-sites" TargetMode="External" Id="rId3" /><Relationship Type="http://schemas.openxmlformats.org/officeDocument/2006/relationships/hyperlink" Target="https://www.thezebra.com/auto-insurance/" TargetMode="External" Id="rId4" /><Relationship Type="http://schemas.openxmlformats.org/officeDocument/2006/relationships/hyperlink" Target="https://www.insurance.ca.gov/01-consumers/105-type/95-guides/01-auto/auto101.cfm" TargetMode="External" Id="rId5" /></Relationships>
</file>

<file path=xl/worksheets/_rels/sheet20.xml.rels><Relationships xmlns="http://schemas.openxmlformats.org/package/2006/relationships"><Relationship Type="http://schemas.openxmlformats.org/officeDocument/2006/relationships/hyperlink" Target="https://www.geico.com/save/discounts/defensive-driver-discounts/" TargetMode="External" Id="rId1" /><Relationship Type="http://schemas.openxmlformats.org/officeDocument/2006/relationships/hyperlink" Target="https://www.statefarm.com/insurance/auto/discounts" TargetMode="External" Id="rId2" /><Relationship Type="http://schemas.openxmlformats.org/officeDocument/2006/relationships/hyperlink" Target="https://insurify.com/car-insurance/report/" TargetMode="External" Id="rId3" /><Relationship Type="http://schemas.openxmlformats.org/officeDocument/2006/relationships/hyperlink" Target="https://insurify.com/homeowners-insurance/insights/rates-increase-first-half-2026/" TargetMode="External" Id="rId4" /><Relationship Type="http://schemas.openxmlformats.org/officeDocument/2006/relationships/hyperlink" Target="https://insurify.com/car-insurance/coverage/telematics/" TargetMode="External" Id="rId5" /><Relationship Type="http://schemas.openxmlformats.org/officeDocument/2006/relationships/hyperlink" Target="https://www.thezebra.com/resources/research/car-insurance-rating-factors-by-state/" TargetMode="External" Id="rId6" /><Relationship Type="http://schemas.openxmlformats.org/officeDocument/2006/relationships/hyperlink" Target="https://www.autoinsurance.org/car-insurance-requirements/" TargetMode="External" Id="rId7" /><Relationship Type="http://schemas.openxmlformats.org/officeDocument/2006/relationships/hyperlink" Target="https://www.bankrate.com/insurance/car/are-telematics-programs-worth-the-discount/" TargetMode="External" Id="rId8" /><Relationship Type="http://schemas.openxmlformats.org/officeDocument/2006/relationships/hyperlink" Target="https://www.cnbc.com/2026/04/26/insurance-rates-credit-history.html" TargetMode="External" Id="rId9" /><Relationship Type="http://schemas.openxmlformats.org/officeDocument/2006/relationships/hyperlink" Target="https://www.cnbc.com/select/state-minimum-car-insurance-requirements/" TargetMode="External" Id="rId10" /><Relationship Type="http://schemas.openxmlformats.org/officeDocument/2006/relationships/hyperlink" Target="https://www.carinsurance.com/Articles/minimum-liability-car-insurance-requirements-by-state.aspx" TargetMode="External" Id="rId11" /><Relationship Type="http://schemas.openxmlformats.org/officeDocument/2006/relationships/hyperlink" Target="https://www.experian.com/blogs/ask-experian/average-cost-car-insurance/" TargetMode="External" Id="rId12" /><Relationship Type="http://schemas.openxmlformats.org/officeDocument/2006/relationships/hyperlink" Target="https://www.experian.com/blogs/ask-experian/which-states-prohibit-or-restrict-the-use-of-credit-based-insurance-scores/" TargetMode="External" Id="rId13" /><Relationship Type="http://schemas.openxmlformats.org/officeDocument/2006/relationships/hyperlink" Target="https://www.insurance.com/auto-insurance/car-insurance-discounts.html" TargetMode="External" Id="rId14" /><Relationship Type="http://schemas.openxmlformats.org/officeDocument/2006/relationships/hyperlink" Target="https://insurancenewsnet.com/oarticle/california-fair-plan-rates-going-up-29-1-in-late-2026" TargetMode="External" Id="rId15" /><Relationship Type="http://schemas.openxmlformats.org/officeDocument/2006/relationships/hyperlink" Target="https://www.kqed.org/news/12094860/california-fair-plan-announces-29-1-rate-hike-for-homeowners-this-fall" TargetMode="External" Id="rId16" /><Relationship Type="http://schemas.openxmlformats.org/officeDocument/2006/relationships/hyperlink" Target="https://www.kiplinger.com/personal-finance/insurance/umbrella-insurance/603237/how-much-umbrella-insurance-do-i-need" TargetMode="External" Id="rId17" /><Relationship Type="http://schemas.openxmlformats.org/officeDocument/2006/relationships/hyperlink" Target="https://www.moneygeek.com/insurance/auto/defensive-driver-courses/" TargetMode="External" Id="rId18" /><Relationship Type="http://schemas.openxmlformats.org/officeDocument/2006/relationships/hyperlink" Target="https://www.moneygeek.com/insurance/auto/which-insurance-companies-dont-check-credit-score/" TargetMode="External" Id="rId19" /><Relationship Type="http://schemas.openxmlformats.org/officeDocument/2006/relationships/hyperlink" Target="https://www.nerdwallet.com/insurance/homeowners/learn/average-homeowners-insurance-cost" TargetMode="External" Id="rId20" /><Relationship Type="http://schemas.openxmlformats.org/officeDocument/2006/relationships/hyperlink" Target="https://www.nerdwallet.com/insurance/homeowners/learn/umbrella-insurance" TargetMode="External" Id="rId21" /><Relationship Type="http://schemas.openxmlformats.org/officeDocument/2006/relationships/hyperlink" Target="https://www.newsweek.com/where-your-credit-score-can-cant-raise-insurance-costs-11885672" TargetMode="External" Id="rId22" /><Relationship Type="http://schemas.openxmlformats.org/officeDocument/2006/relationships/hyperlink" Target="https://media.rff.org/documents/WP_25-30.pdf" TargetMode="External" Id="rId23" /><Relationship Type="http://schemas.openxmlformats.org/officeDocument/2006/relationships/hyperlink" Target="https://www.usnews.com/insurance/auto/average-cost-of-car-insurance" TargetMode="External" Id="rId24" /><Relationship Type="http://schemas.openxmlformats.org/officeDocument/2006/relationships/hyperlink" Target="https://uphelp.org/should-states-ban-credit-based-insurance-scoring/" TargetMode="External" Id="rId25" /><Relationship Type="http://schemas.openxmlformats.org/officeDocument/2006/relationships/hyperlink" Target="https://www.valuepenguin.com/state-of-auto-insurance-2026" TargetMode="External" Id="rId26" /><Relationship Type="http://schemas.openxmlformats.org/officeDocument/2006/relationships/hyperlink" Target="https://www.law.cornell.edu/regulations/california/10-CCR-2632.12" TargetMode="External" Id="rId27" /><Relationship Type="http://schemas.openxmlformats.org/officeDocument/2006/relationships/hyperlink" Target="https://www.law.cornell.edu/regulations/california/10-CCR-2632.5" TargetMode="External" Id="rId28" /><Relationship Type="http://schemas.openxmlformats.org/officeDocument/2006/relationships/hyperlink" Target="https://www.dmv.ca.gov/portal/vehicle-registration/insurance-requirements/" TargetMode="External" Id="rId29" /><Relationship Type="http://schemas.openxmlformats.org/officeDocument/2006/relationships/hyperlink" Target="https://www.insurance.ca.gov/01-consumers/105-type/95-guides/03-res/eq-ins.cfm" TargetMode="External" Id="rId30" /><Relationship Type="http://schemas.openxmlformats.org/officeDocument/2006/relationships/hyperlink" Target="https://www.insurance.ca.gov/01-consumers/140-catastrophes/FloodFacts.cfm" TargetMode="External" Id="rId31" /><Relationship Type="http://schemas.openxmlformats.org/officeDocument/2006/relationships/hyperlink" Target="https://www.insurance.ca.gov/01-consumers/105-type/95-guides/upload/Homeowners-Insurance-Updated-121924.pdf" TargetMode="External" Id="rId32" /><Relationship Type="http://schemas.openxmlformats.org/officeDocument/2006/relationships/hyperlink" Target="https://www.insurance.ca.gov/01-consumers/105-type/95-guides/01-auto/auto101.cfm" TargetMode="External" Id="rId33" /><Relationship Type="http://schemas.openxmlformats.org/officeDocument/2006/relationships/hyperlink" Target="https://www.insurance.ca.gov/0400-news/0102-alerts/2024/California-s-Low-Cost-Auto-Insurance.cfm" TargetMode="External" Id="rId34" /><Relationship Type="http://schemas.openxmlformats.org/officeDocument/2006/relationships/hyperlink" Target="https://www.insurance.ca.gov/01-consumers/105-type/95-guides/03-res/res-ins-guide.cfm" TargetMode="External" Id="rId35" /><Relationship Type="http://schemas.openxmlformats.org/officeDocument/2006/relationships/hyperlink" Target="https://www.insurance.ca.gov/01-consumers/200-wrr/Safer-from-Wildfires.cfm" TargetMode="External" Id="rId36" /><Relationship Type="http://schemas.openxmlformats.org/officeDocument/2006/relationships/hyperlink" Target="https://www.insurance.ca.gov/01-consumers/180-climate-change/SustainableInsuranceStrategy.cfm" TargetMode="External" Id="rId37" /><Relationship Type="http://schemas.openxmlformats.org/officeDocument/2006/relationships/hyperlink" Target="https://law.justia.com/codes/california/code-ins/division-2/part-1/chapter-8-5/section-10083/" TargetMode="External" Id="rId38" /><Relationship Type="http://schemas.openxmlformats.org/officeDocument/2006/relationships/hyperlink" Target="https://codes.findlaw.com/ca/insurance-code/ins-sect-11628-3/" TargetMode="External" Id="rId39" /><Relationship Type="http://schemas.openxmlformats.org/officeDocument/2006/relationships/hyperlink" Target="https://law.justia.com/codes/california/code-ins/division-1/part-2/chapter-9/article-10/section-1861-025/" TargetMode="External" Id="rId40" /><Relationship Type="http://schemas.openxmlformats.org/officeDocument/2006/relationships/hyperlink" Target="https://www.insurance.ca.gov/0250-insurers/0300-insurers/0200-bulletins/bulletin-notices-commiss-opinion/upload/Advisory-Notice-2005-02.pdf" TargetMode="External" Id="rId41" /><Relationship Type="http://schemas.openxmlformats.org/officeDocument/2006/relationships/hyperlink" Target="https://www.insurance.ca.gov/0400-news/0100-press-releases/2025/release079-2025.cfm" TargetMode="External" Id="rId42" /><Relationship Type="http://schemas.openxmlformats.org/officeDocument/2006/relationships/hyperlink" Target="https://www.insurance.ca.gov/0400-news/0100-press-releases/2019/release089-19.cfm" TargetMode="External" Id="rId43" /><Relationship Type="http://schemas.openxmlformats.org/officeDocument/2006/relationships/hyperlink" Target="https://www.congress.gov/crs-product/R49353" TargetMode="External" Id="rId44" /><Relationship Type="http://schemas.openxmlformats.org/officeDocument/2006/relationships/hyperlink" Target="https://www.congress.gov/crs-product/IN10835" TargetMode="External" Id="rId45" /><Relationship Type="http://schemas.openxmlformats.org/officeDocument/2006/relationships/hyperlink" Target="https://www.earthquakeauthority.com/california-earthquake-insurance-policies/homeowners" TargetMode="External" Id="rId46" /><Relationship Type="http://schemas.openxmlformats.org/officeDocument/2006/relationships/hyperlink" Target="https://www.myfloridacfo.com/division/consumers/consumerprotections/floridashurricanedeductible" TargetMode="External" Id="rId47" /><Relationship Type="http://schemas.openxmlformats.org/officeDocument/2006/relationships/hyperlink" Target="https://www.flhsmv.gov/insurance/" TargetMode="External" Id="rId48" /><Relationship Type="http://schemas.openxmlformats.org/officeDocument/2006/relationships/hyperlink" Target="https://www.flsenate.gov/Laws/Statutes/2025/0626.9741" TargetMode="External" Id="rId49" /><Relationship Type="http://schemas.openxmlformats.org/officeDocument/2006/relationships/hyperlink" Target="https://flsenate.gov/Laws/Statutes/2003/627.06501" TargetMode="External" Id="rId50" /><Relationship Type="http://schemas.openxmlformats.org/officeDocument/2006/relationships/hyperlink" Target="https://www.flsenate.gov/laws/statutes/2012/627.0652" TargetMode="External" Id="rId51" /><Relationship Type="http://schemas.openxmlformats.org/officeDocument/2006/relationships/hyperlink" Target="https://codes.findlaw.com/fl/title-xxxvii-insurance/fl-st-sect-627-701/" TargetMode="External" Id="rId52" /><Relationship Type="http://schemas.openxmlformats.org/officeDocument/2006/relationships/hyperlink" Target="https://law.justia.com/codes/florida/title-xxxvii/chapter-627/part-xi/section-627-728/" TargetMode="External" Id="rId53" /><Relationship Type="http://schemas.openxmlformats.org/officeDocument/2006/relationships/hyperlink" Target="https://www.flsenate.gov/Laws/Statutes/2022/Chapter324/All" TargetMode="External" Id="rId54" /><Relationship Type="http://schemas.openxmlformats.org/officeDocument/2006/relationships/hyperlink" Target="https://www.flsenate.gov/Laws/Statutes/2025/Chapter627/All" TargetMode="External" Id="rId55" /><Relationship Type="http://schemas.openxmlformats.org/officeDocument/2006/relationships/hyperlink" Target="https://content.naic.org/sites/default/files/consumer-auto-shopping-tool.pdf" TargetMode="External" Id="rId56" /><Relationship Type="http://schemas.openxmlformats.org/officeDocument/2006/relationships/hyperlink" Target="https://www.dfs.ny.gov/faqs/consumer-auto/how-much-auto-insurance-must-i-carry" TargetMode="External" Id="rId57" /><Relationship Type="http://schemas.openxmlformats.org/officeDocument/2006/relationships/hyperlink" Target="https://www.dfs.ny.gov/consumers/auto_insurance/discounts_list" TargetMode="External" Id="rId58" /><Relationship Type="http://schemas.openxmlformats.org/officeDocument/2006/relationships/hyperlink" Target="https://www.dfs.ny.gov/consumers/auto_insurance/Auto_resource_center" TargetMode="External" Id="rId59" /><Relationship Type="http://schemas.openxmlformats.org/officeDocument/2006/relationships/hyperlink" Target="https://leginfo.legislature.ca.gov/faces/billNavClient.xhtml?bill_id=202120220SB1107" TargetMode="External" Id="rId60" /><Relationship Type="http://schemas.openxmlformats.org/officeDocument/2006/relationships/hyperlink" Target="https://www.twia.org/flood-requirement/" TargetMode="External" Id="rId61" /><Relationship Type="http://schemas.openxmlformats.org/officeDocument/2006/relationships/hyperlink" Target="https://www.tdi.texas.gov/pubs/consumer/cb020.html" TargetMode="External" Id="rId62" /><Relationship Type="http://schemas.openxmlformats.org/officeDocument/2006/relationships/hyperlink" Target="https://tdi.texas.gov/blog/category/home-property.html" TargetMode="External" Id="rId63" /><Relationship Type="http://schemas.openxmlformats.org/officeDocument/2006/relationships/hyperlink" Target="https://www.tdi.texas.gov/pubs/consumer/cb025.html" TargetMode="External" Id="rId64" /><Relationship Type="http://schemas.openxmlformats.org/officeDocument/2006/relationships/hyperlink" Target="https://www.tdi.texas.gov/general/texas-homeowners-insurance-market-overview.html" TargetMode="External" Id="rId65" /><Relationship Type="http://schemas.openxmlformats.org/officeDocument/2006/relationships/hyperlink" Target="https://aegivra.com/guides/texas-homeowners-insurance-guide" TargetMode="External" Id="rId66" /><Relationship Type="http://schemas.openxmlformats.org/officeDocument/2006/relationships/hyperlink" Target="https://www.ashmorelaw.com/blog/car-insurance-do-you-have-enough-.cfm" TargetMode="External" Id="rId67" /><Relationship Type="http://schemas.openxmlformats.org/officeDocument/2006/relationships/hyperlink" Target="https://atesariskadvisors.com/blog/florida-private-flood-insurance-vs-nfip-2026" TargetMode="External" Id="rId68" /><Relationship Type="http://schemas.openxmlformats.org/officeDocument/2006/relationships/hyperlink" Target="https://beachinsurancellc.com/blog/state-minimum-car-insurance-requirements-for-2026-your-essential-guide" TargetMode="External" Id="rId69" /><Relationship Type="http://schemas.openxmlformats.org/officeDocument/2006/relationships/hyperlink" Target="https://www.cigflorida.com/policy-updates-for-florida-homeowners/" TargetMode="External" Id="rId70" /><Relationship Type="http://schemas.openxmlformats.org/officeDocument/2006/relationships/hyperlink" Target="https://cincoautoinsurance.com/auto-insurance/cost/" TargetMode="External" Id="rId71" /><Relationship Type="http://schemas.openxmlformats.org/officeDocument/2006/relationships/hyperlink" Target="https://coverageclassroom.com/learn/citizens-flood-insurance-requirement" TargetMode="External" Id="rId72" /><Relationship Type="http://schemas.openxmlformats.org/officeDocument/2006/relationships/hyperlink" Target="https://coverageclassroom.com/learn/hurricane-insurance-florida-guide" TargetMode="External" Id="rId73" /><Relationship Type="http://schemas.openxmlformats.org/officeDocument/2006/relationships/hyperlink" Target="https://coveragecriteria.com/articles/minimum-auto-insurance-by-state" TargetMode="External" Id="rId74" /><Relationship Type="http://schemas.openxmlformats.org/officeDocument/2006/relationships/hyperlink" Target="https://www.earthquakenearme.com/en/blog/earthquake-insurance-california" TargetMode="External" Id="rId75" /><Relationship Type="http://schemas.openxmlformats.org/officeDocument/2006/relationships/hyperlink" Target="https://expressfinancial.net/p/earthquake-insurance-california" TargetMode="External" Id="rId76" /><Relationship Type="http://schemas.openxmlformats.org/officeDocument/2006/relationships/hyperlink" Target="https://insurtool.com/tools/average-car-insurance-cost/" TargetMode="External" Id="rId77" /><Relationship Type="http://schemas.openxmlformats.org/officeDocument/2006/relationships/hyperlink" Target="https://www.insurancegeek.com/auto-insurance/state-minimum-car-insurance-limits/" TargetMode="External" Id="rId78" /><Relationship Type="http://schemas.openxmlformats.org/officeDocument/2006/relationships/hyperlink" Target="https://www.getinsureleads.com/blog/fcc-one-to-one-consent-rule-status-update-2026" TargetMode="External" Id="rId79" /><Relationship Type="http://schemas.openxmlformats.org/officeDocument/2006/relationships/hyperlink" Target="https://www.insuremojo.com/telematics-insurance-discount-programs/" TargetMode="External" Id="rId80" /><Relationship Type="http://schemas.openxmlformats.org/officeDocument/2006/relationships/hyperlink" Target="https://www.insuremojo.com/telematics-insurance-data-privacy-bills-2026/" TargetMode="External" Id="rId81" /><Relationship Type="http://schemas.openxmlformats.org/officeDocument/2006/relationships/hyperlink" Target="https://www.insuredbetter.com/car-insurance/compare-auto-coverage/rate-cost/" TargetMode="External" Id="rId82" /><Relationship Type="http://schemas.openxmlformats.org/officeDocument/2006/relationships/hyperlink" Target="https://www.latentinsure.com/texas-homeowners-insurance/twia" TargetMode="External" Id="rId83" /><Relationship Type="http://schemas.openxmlformats.org/officeDocument/2006/relationships/hyperlink" Target="https://www.leaddistro.ai/blog/one-to-one-consent" TargetMode="External" Id="rId84" /><Relationship Type="http://schemas.openxmlformats.org/officeDocument/2006/relationships/hyperlink" Target="https://thelendersnetwork.com/flood-insurance-mortgage-requirements/" TargetMode="External" Id="rId85" /><Relationship Type="http://schemas.openxmlformats.org/officeDocument/2006/relationships/hyperlink" Target="https://www.meilynx.com/reference/naic-ai-model-bulletin" TargetMode="External" Id="rId86" /><Relationship Type="http://schemas.openxmlformats.org/officeDocument/2006/relationships/hyperlink" Target="https://www.quoteyeti.com/blog/telematics-tradeoffs/" TargetMode="External" Id="rId87" /><Relationship Type="http://schemas.openxmlformats.org/officeDocument/2006/relationships/hyperlink" Target="https://www.realcostreport.com/insurance/home-insurance/umbrella-insurance-cost/" TargetMode="External" Id="rId88" /><Relationship Type="http://schemas.openxmlformats.org/officeDocument/2006/relationships/hyperlink" Target="https://www.safedriver.com/news/defensive-driving-for-insurance-discount-2026-how-much-you-can-really-save" TargetMode="External" Id="rId89" /><Relationship Type="http://schemas.openxmlformats.org/officeDocument/2006/relationships/hyperlink" Target="https://techsavvyinsurance.com/answers/which-states-adopted-naic-ai-model-bulletin/" TargetMode="External" Id="rId90" /><Relationship Type="http://schemas.openxmlformats.org/officeDocument/2006/relationships/hyperlink" Target="https://usecalcpro.com/finance/umbrella-insurance-quote-calculator" TargetMode="External" Id="rId91" /><Relationship Type="http://schemas.openxmlformats.org/officeDocument/2006/relationships/hyperlink" Target="https://www.vilesandbeckman.com/blog/did-florida-repeal-no-fault-insurance-the-pip-myths-and-the-facts-for-2026/" TargetMode="External" Id="rId92" /><Relationship Type="http://schemas.openxmlformats.org/officeDocument/2006/relationships/hyperlink" Target="https://walletgrower.com/insurance/homeowners-insurance/flood-insurance" TargetMode="External" Id="rId93" /><Relationship Type="http://schemas.openxmlformats.org/officeDocument/2006/relationships/hyperlink" Target="https://actuary.info/insights/ai-regulation-insurance-naic-2026" TargetMode="External" Id="rId94" /></Relationships>
</file>

<file path=xl/worksheets/sheet1.xml><?xml version="1.0" encoding="utf-8"?>
<worksheet xmlns="http://schemas.openxmlformats.org/spreadsheetml/2006/main">
  <sheetPr filterMode="0">
    <outlinePr summaryBelow="1" summaryRight="1"/>
    <pageSetUpPr fitToPage="0"/>
  </sheetPr>
  <dimension ref="A1:F7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8" min="1" max="1"/>
    <col width="22" customWidth="1" style="28" min="2" max="6"/>
  </cols>
  <sheetData>
    <row r="1" ht="17.35" customHeight="1" s="29">
      <c r="A1" s="30" t="inlineStr">
        <is>
          <t>Insurance Comparison Platform - Reference Data Workbook</t>
        </is>
      </c>
    </row>
    <row r="3" ht="45" customHeight="1" s="29">
      <c r="A3" s="31" t="inlineStr">
        <is>
          <t>Purpose</t>
        </is>
      </c>
      <c r="B3" s="32" t="inlineStr">
        <is>
          <t>Structured reference data from research through October 1, 2026 (California auto and home; Texas, Florida, New York, Illinois, Pennsylvania, Georgia, North Carolina and Virginia auto; Texas, Florida, New York, Illinois, Pennsylvania, Georgia, North Carolina and Virginia home verified from primary sources; California home credit-use rules still open) for the U.S. auto and home insurance education/comparison project.</t>
        </is>
      </c>
    </row>
    <row r="4" ht="15" customHeight="1" s="29">
      <c r="A4" s="31" t="inlineStr">
        <is>
          <t>As-of date</t>
        </is>
      </c>
      <c r="B4" s="33" t="n">
        <v>46296</v>
      </c>
    </row>
    <row r="5" ht="45" customHeight="1" s="29">
      <c r="A5" s="31" t="inlineStr">
        <is>
          <t>Important</t>
        </is>
      </c>
      <c r="B5" s="32" t="inlineStr">
        <is>
          <t>This is reference data, not insurer quotes or advice. Most entries come from secondary sources and must be checked against state DOI, statute or carrier filings before use on a live site.</t>
        </is>
      </c>
    </row>
    <row r="6" ht="45" customHeight="1" s="29">
      <c r="A6" s="31" t="inlineStr">
        <is>
          <t>How to edit</t>
        </is>
      </c>
      <c r="B6" s="32" t="inlineStr">
        <is>
          <t>Edit any cell in the data tabs. Add new rows at the bottom, keep the standard columns filled, and set Verification Status from the dropdown.</t>
        </is>
      </c>
    </row>
    <row r="7" ht="45" customHeight="1" s="29">
      <c r="A7" s="31" t="inlineStr">
        <is>
          <t>Standard columns</t>
        </is>
      </c>
      <c r="B7" s="32" t="inlineStr">
        <is>
          <t>Every data tab ends with: Source, Source URL, Date Collected, Geographic Scope, Data Type, Verification Status, Last Updated, Notes.</t>
        </is>
      </c>
    </row>
    <row r="9" ht="15" customHeight="1" s="29">
      <c r="A9" s="31" t="inlineStr">
        <is>
          <t>Verification Status legend</t>
        </is>
      </c>
    </row>
    <row r="10" ht="30" customHeight="1" s="29">
      <c r="A10" s="34" t="inlineStr">
        <is>
          <t>Primary source</t>
        </is>
      </c>
      <c r="B10" s="32" t="inlineStr">
        <is>
          <t>From a regulator, government body or the carrier's own published terms. Still confirm it is current.</t>
        </is>
      </c>
    </row>
    <row r="11" ht="30" customHeight="1" s="29">
      <c r="A11" s="35" t="inlineStr">
        <is>
          <t>Secondary - unverified</t>
        </is>
      </c>
      <c r="B11" s="32" t="inlineStr">
        <is>
          <t>From a comparison site, publisher or blog. Treat as a lead to verify, not a fact to publish.</t>
        </is>
      </c>
    </row>
    <row r="12" ht="30" customHeight="1" s="29">
      <c r="A12" s="36" t="inlineStr">
        <is>
          <t>Conflicting</t>
        </is>
      </c>
      <c r="B12" s="32" t="inlineStr">
        <is>
          <t>Sources disagree. See Conflicts Log.</t>
        </is>
      </c>
    </row>
    <row r="13" ht="30" customHeight="1" s="29">
      <c r="A13" s="37" t="inlineStr">
        <is>
          <t>Not researched</t>
        </is>
      </c>
      <c r="B13" s="32" t="inlineStr">
        <is>
          <t>Placeholder row; nothing researched yet.</t>
        </is>
      </c>
    </row>
    <row r="15" ht="15" customHeight="1" s="29">
      <c r="A15" s="31" t="inlineStr">
        <is>
          <t>Status count by tab (live formulas)</t>
        </is>
      </c>
    </row>
    <row r="16" ht="15" customHeight="1" s="29">
      <c r="A16" s="38" t="inlineStr">
        <is>
          <t>Tab</t>
        </is>
      </c>
      <c r="B16" s="38" t="inlineStr">
        <is>
          <t>Primary source</t>
        </is>
      </c>
      <c r="C16" s="38" t="inlineStr">
        <is>
          <t>Secondary - unverified</t>
        </is>
      </c>
      <c r="D16" s="38" t="inlineStr">
        <is>
          <t>Conflicting</t>
        </is>
      </c>
      <c r="E16" s="38" t="inlineStr">
        <is>
          <t>Not researched</t>
        </is>
      </c>
      <c r="F16" s="38" t="inlineStr">
        <is>
          <t>Total rows</t>
        </is>
      </c>
    </row>
    <row r="17" ht="15" customHeight="1" s="29">
      <c r="A17" s="39" t="inlineStr">
        <is>
          <t>State Min Limits</t>
        </is>
      </c>
      <c r="B17" s="39">
        <f>COUNTIF('State Min Limits'!$N$2:$N$500,"Primary source")</f>
        <v/>
      </c>
      <c r="C17" s="39">
        <f>COUNTIF('State Min Limits'!$N$2:$N$500,"Secondary - unverified")</f>
        <v/>
      </c>
      <c r="D17" s="39">
        <f>COUNTIF('State Min Limits'!$N$2:$N$500,"Conflicting")</f>
        <v/>
      </c>
      <c r="E17" s="39">
        <f>COUNTIF('State Min Limits'!$N$2:$N$500,"Not researched")</f>
        <v/>
      </c>
      <c r="F17" s="39">
        <f>SUM(B17:E17)</f>
        <v/>
      </c>
    </row>
    <row r="18" ht="15" customHeight="1" s="29">
      <c r="A18" s="39" t="inlineStr">
        <is>
          <t>Rating Factors</t>
        </is>
      </c>
      <c r="B18" s="39">
        <f>COUNTIF('Rating Factors'!$L$2:$L$500,"Primary source")</f>
        <v/>
      </c>
      <c r="C18" s="39">
        <f>COUNTIF('Rating Factors'!$L$2:$L$500,"Secondary - unverified")</f>
        <v/>
      </c>
      <c r="D18" s="39">
        <f>COUNTIF('Rating Factors'!$L$2:$L$500,"Conflicting")</f>
        <v/>
      </c>
      <c r="E18" s="39">
        <f>COUNTIF('Rating Factors'!$L$2:$L$500,"Not researched")</f>
        <v/>
      </c>
      <c r="F18" s="39">
        <f>SUM(B18:E18)</f>
        <v/>
      </c>
    </row>
    <row r="19" ht="15" customHeight="1" s="29">
      <c r="A19" s="39" t="inlineStr">
        <is>
          <t>Discounts</t>
        </is>
      </c>
      <c r="B19" s="39">
        <f>COUNTIF(Discounts!$K$2:$K$500,"Primary source")</f>
        <v/>
      </c>
      <c r="C19" s="39">
        <f>COUNTIF(Discounts!$K$2:$K$500,"Secondary - unverified")</f>
        <v/>
      </c>
      <c r="D19" s="39">
        <f>COUNTIF(Discounts!$K$2:$K$500,"Conflicting")</f>
        <v/>
      </c>
      <c r="E19" s="39">
        <f>COUNTIF(Discounts!$K$2:$K$500,"Not researched")</f>
        <v/>
      </c>
      <c r="F19" s="39">
        <f>SUM(B19:E19)</f>
        <v/>
      </c>
    </row>
    <row r="20" ht="15" customHeight="1" s="29">
      <c r="A20" s="39" t="inlineStr">
        <is>
          <t>Telematics</t>
        </is>
      </c>
      <c r="B20" s="39">
        <f>COUNTIF(Telematics!$M$2:$M$500,"Primary source")</f>
        <v/>
      </c>
      <c r="C20" s="39">
        <f>COUNTIF(Telematics!$M$2:$M$500,"Secondary - unverified")</f>
        <v/>
      </c>
      <c r="D20" s="39">
        <f>COUNTIF(Telematics!$M$2:$M$500,"Conflicting")</f>
        <v/>
      </c>
      <c r="E20" s="39">
        <f>COUNTIF(Telematics!$M$2:$M$500,"Not researched")</f>
        <v/>
      </c>
      <c r="F20" s="39">
        <f>SUM(B20:E20)</f>
        <v/>
      </c>
    </row>
    <row r="21" ht="15" customHeight="1" s="29">
      <c r="A21" s="39" t="inlineStr">
        <is>
          <t>Coverage Details</t>
        </is>
      </c>
      <c r="B21" s="39">
        <f>COUNTIF('Coverage Details'!$J$2:$J$500,"Primary source")</f>
        <v/>
      </c>
      <c r="C21" s="39">
        <f>COUNTIF('Coverage Details'!$J$2:$J$500,"Secondary - unverified")</f>
        <v/>
      </c>
      <c r="D21" s="39">
        <f>COUNTIF('Coverage Details'!$J$2:$J$500,"Conflicting")</f>
        <v/>
      </c>
      <c r="E21" s="39">
        <f>COUNTIF('Coverage Details'!$J$2:$J$500,"Not researched")</f>
        <v/>
      </c>
      <c r="F21" s="39">
        <f>SUM(B21:E21)</f>
        <v/>
      </c>
    </row>
    <row r="22" ht="15" customHeight="1" s="29">
      <c r="A22" s="39" t="inlineStr">
        <is>
          <t>Price Benchmarks</t>
        </is>
      </c>
      <c r="B22" s="39">
        <f>COUNTIF('Price Benchmarks'!$K$2:$K$500,"Primary source")</f>
        <v/>
      </c>
      <c r="C22" s="39">
        <f>COUNTIF('Price Benchmarks'!$K$2:$K$500,"Secondary - unverified")</f>
        <v/>
      </c>
      <c r="D22" s="39">
        <f>COUNTIF('Price Benchmarks'!$K$2:$K$500,"Conflicting")</f>
        <v/>
      </c>
      <c r="E22" s="39">
        <f>COUNTIF('Price Benchmarks'!$K$2:$K$500,"Not researched")</f>
        <v/>
      </c>
      <c r="F22" s="39">
        <f>SUM(B22:E22)</f>
        <v/>
      </c>
    </row>
    <row r="23" ht="15" customHeight="1" s="29">
      <c r="A23" s="39" t="inlineStr">
        <is>
          <t>Regulatory Watch</t>
        </is>
      </c>
      <c r="B23" s="39">
        <f>COUNTIF('Regulatory Watch'!$J$2:$J$500,"Primary source")</f>
        <v/>
      </c>
      <c r="C23" s="39">
        <f>COUNTIF('Regulatory Watch'!$J$2:$J$500,"Secondary - unverified")</f>
        <v/>
      </c>
      <c r="D23" s="39">
        <f>COUNTIF('Regulatory Watch'!$J$2:$J$500,"Conflicting")</f>
        <v/>
      </c>
      <c r="E23" s="39">
        <f>COUNTIF('Regulatory Watch'!$J$2:$J$500,"Not researched")</f>
        <v/>
      </c>
      <c r="F23" s="39">
        <f>SUM(B23:E23)</f>
        <v/>
      </c>
    </row>
    <row r="24" ht="15" customHeight="1" s="29">
      <c r="A24" s="39" t="inlineStr">
        <is>
          <t>CA Auto Verified</t>
        </is>
      </c>
      <c r="B24" s="39">
        <f>COUNTIF('CA Auto Verified'!$J$2:$J$500,"Primary source")</f>
        <v/>
      </c>
      <c r="C24" s="39">
        <f>COUNTIF('CA Auto Verified'!$J$2:$J$500,"Secondary - unverified")</f>
        <v/>
      </c>
      <c r="D24" s="39">
        <f>COUNTIF('CA Auto Verified'!$J$2:$J$500,"Conflicting")</f>
        <v/>
      </c>
      <c r="E24" s="39">
        <f>COUNTIF('CA Auto Verified'!$J$2:$J$500,"Not researched")</f>
        <v/>
      </c>
      <c r="F24" s="39">
        <f>SUM(B24:E24)</f>
        <v/>
      </c>
    </row>
    <row r="25" ht="15" customHeight="1" s="29">
      <c r="A25" s="39" t="inlineStr">
        <is>
          <t>CA Home Verified</t>
        </is>
      </c>
      <c r="B25" s="39">
        <f>COUNTIF('CA Home Verified'!$J$2:$J$500,"Primary source")</f>
        <v/>
      </c>
      <c r="C25" s="39">
        <f>COUNTIF('CA Home Verified'!$J$2:$J$500,"Secondary - unverified")</f>
        <v/>
      </c>
      <c r="D25" s="39">
        <f>COUNTIF('CA Home Verified'!$J$2:$J$500,"Conflicting")</f>
        <v/>
      </c>
      <c r="E25" s="39">
        <f>COUNTIF('CA Home Verified'!$J$2:$J$500,"Not researched")</f>
        <v/>
      </c>
      <c r="F25" s="39">
        <f>SUM(B25:E25)</f>
        <v/>
      </c>
    </row>
    <row r="26" ht="15" customHeight="1" s="29">
      <c r="A26" s="39" t="inlineStr">
        <is>
          <t>TX Auto Verified</t>
        </is>
      </c>
      <c r="B26" s="39">
        <f>COUNTIF('TX Auto Verified'!$J$2:$J$500,"Primary source")</f>
        <v/>
      </c>
      <c r="C26" s="39">
        <f>COUNTIF('TX Auto Verified'!$J$2:$J$500,"Secondary - unverified")</f>
        <v/>
      </c>
      <c r="D26" s="39">
        <f>COUNTIF('TX Auto Verified'!$J$2:$J$500,"Conflicting")</f>
        <v/>
      </c>
      <c r="E26" s="39">
        <f>COUNTIF('TX Auto Verified'!$J$2:$J$500,"Not researched")</f>
        <v/>
      </c>
      <c r="F26" s="39">
        <f>SUM(B26:E26)</f>
        <v/>
      </c>
    </row>
    <row r="27" ht="15" customHeight="1" s="29">
      <c r="A27" s="39" t="inlineStr">
        <is>
          <t>FL Auto Verified</t>
        </is>
      </c>
      <c r="B27" s="39">
        <f>COUNTIF('FL Auto Verified'!$J$2:$J$500,"Primary source")</f>
        <v/>
      </c>
      <c r="C27" s="39">
        <f>COUNTIF('FL Auto Verified'!$J$2:$J$500,"Secondary - unverified")</f>
        <v/>
      </c>
      <c r="D27" s="39">
        <f>COUNTIF('FL Auto Verified'!$J$2:$J$500,"Conflicting")</f>
        <v/>
      </c>
      <c r="E27" s="39">
        <f>COUNTIF('FL Auto Verified'!$J$2:$J$500,"Not researched")</f>
        <v/>
      </c>
      <c r="F27" s="39">
        <f>SUM(B27:E27)</f>
        <v/>
      </c>
    </row>
    <row r="28" ht="15" customHeight="1" s="29">
      <c r="A28" s="39" t="inlineStr">
        <is>
          <t>NY Auto Verified</t>
        </is>
      </c>
      <c r="B28" s="39">
        <f>COUNTIF('NY Auto Verified'!$J$2:$J$500,"Primary source")</f>
        <v/>
      </c>
      <c r="C28" s="39">
        <f>COUNTIF('NY Auto Verified'!$J$2:$J$500,"Secondary - unverified")</f>
        <v/>
      </c>
      <c r="D28" s="39">
        <f>COUNTIF('NY Auto Verified'!$J$2:$J$500,"Conflicting")</f>
        <v/>
      </c>
      <c r="E28" s="39">
        <f>COUNTIF('NY Auto Verified'!$J$2:$J$500,"Not researched")</f>
        <v/>
      </c>
      <c r="F28" s="39">
        <f>SUM(B28:E28)</f>
        <v/>
      </c>
    </row>
    <row r="29" ht="15" customHeight="1" s="29">
      <c r="A29" s="39" t="inlineStr">
        <is>
          <t>TX Home Verified</t>
        </is>
      </c>
      <c r="B29" s="39">
        <f>COUNTIF('TX Home Verified'!$J$2:$J$500,"Primary source")</f>
        <v/>
      </c>
      <c r="C29" s="39">
        <f>COUNTIF('TX Home Verified'!$J$2:$J$500,"Secondary - unverified")</f>
        <v/>
      </c>
      <c r="D29" s="39">
        <f>COUNTIF('TX Home Verified'!$J$2:$J$500,"Conflicting")</f>
        <v/>
      </c>
      <c r="E29" s="39">
        <f>COUNTIF('TX Home Verified'!$J$2:$J$500,"Not researched")</f>
        <v/>
      </c>
      <c r="F29" s="39">
        <f>SUM(B29:E29)</f>
        <v/>
      </c>
    </row>
    <row r="30" ht="15" customHeight="1" s="29">
      <c r="A30" s="39" t="inlineStr">
        <is>
          <t>FL Home Verified</t>
        </is>
      </c>
      <c r="B30" s="39">
        <f>COUNTIF('FL Home Verified'!$J$2:$J$500,"Primary source")</f>
        <v/>
      </c>
      <c r="C30" s="39">
        <f>COUNTIF('FL Home Verified'!$J$2:$J$500,"Secondary - unverified")</f>
        <v/>
      </c>
      <c r="D30" s="39">
        <f>COUNTIF('FL Home Verified'!$J$2:$J$500,"Conflicting")</f>
        <v/>
      </c>
      <c r="E30" s="39">
        <f>COUNTIF('FL Home Verified'!$J$2:$J$500,"Not researched")</f>
        <v/>
      </c>
      <c r="F30" s="39">
        <f>SUM(B30:E30)</f>
        <v/>
      </c>
    </row>
    <row r="31" ht="15" customHeight="1" s="29">
      <c r="A31" s="28" t="inlineStr">
        <is>
          <t>NY Home Verified</t>
        </is>
      </c>
      <c r="B31" s="28">
        <f>COUNTIF('NY Home Verified'!$J$2:$J$500,"Primary source")</f>
        <v/>
      </c>
      <c r="C31" s="28">
        <f>COUNTIF('NY Home Verified'!$J$2:$J$500,"Secondary - unverified")</f>
        <v/>
      </c>
      <c r="D31" s="28">
        <f>COUNTIF('NY Home Verified'!$J$2:$J$500,"Conflicting")</f>
        <v/>
      </c>
      <c r="E31" s="28">
        <f>COUNTIF('NY Home Verified'!$J$2:$J$500,"Not researched")</f>
        <v/>
      </c>
      <c r="F31" s="28">
        <f>SUM(B31:E31)</f>
        <v/>
      </c>
    </row>
    <row r="32">
      <c r="A32" s="28" t="inlineStr">
        <is>
          <t>IL Auto Verified</t>
        </is>
      </c>
      <c r="B32" s="28">
        <f>COUNTIF('IL Auto Verified'!$J$2:$J$500,"Primary source")</f>
        <v/>
      </c>
      <c r="C32" s="28">
        <f>COUNTIF('IL Auto Verified'!$J$2:$J$500,"Secondary - unverified")</f>
        <v/>
      </c>
      <c r="D32" s="28">
        <f>COUNTIF('IL Auto Verified'!$J$2:$J$500,"Conflicting")</f>
        <v/>
      </c>
      <c r="E32" s="28">
        <f>COUNTIF('IL Auto Verified'!$J$2:$J$500,"Not researched")</f>
        <v/>
      </c>
      <c r="F32" s="28">
        <f>SUM(B32:E32)</f>
        <v/>
      </c>
    </row>
    <row r="33" ht="15" customHeight="1" s="29">
      <c r="A33" s="28" t="inlineStr">
        <is>
          <t>IL Home Verified</t>
        </is>
      </c>
      <c r="B33" s="28">
        <f>COUNTIF('IL Home Verified'!$J$2:$J$500,"Primary source")</f>
        <v/>
      </c>
      <c r="C33" s="28">
        <f>COUNTIF('IL Home Verified'!$J$2:$J$500,"Secondary - unverified")</f>
        <v/>
      </c>
      <c r="D33" s="28">
        <f>COUNTIF('IL Home Verified'!$J$2:$J$500,"Conflicting")</f>
        <v/>
      </c>
      <c r="E33" s="28">
        <f>COUNTIF('IL Home Verified'!$J$2:$J$500,"Not researched")</f>
        <v/>
      </c>
      <c r="F33" s="28">
        <f>SUM(B33:E33)</f>
        <v/>
      </c>
    </row>
    <row r="34" ht="15" customHeight="1" s="29">
      <c r="A34" s="31" t="inlineStr">
        <is>
          <t>PA Auto Verified</t>
        </is>
      </c>
      <c r="B34" s="31">
        <f>COUNTIF('PA Auto Verified'!$J$2:$J$500,"Primary source")</f>
        <v/>
      </c>
      <c r="C34" s="28">
        <f>COUNTIF('PA Auto Verified'!$J$2:$J$500,"Secondary - unverified")</f>
        <v/>
      </c>
      <c r="D34" s="28">
        <f>COUNTIF('PA Auto Verified'!$J$2:$J$500,"Conflicting")</f>
        <v/>
      </c>
      <c r="E34" s="28">
        <f>COUNTIF('PA Auto Verified'!$J$2:$J$500,"Not researched")</f>
        <v/>
      </c>
      <c r="F34" s="28">
        <f>SUM(B34:E34)</f>
        <v/>
      </c>
    </row>
    <row r="35" ht="15" customHeight="1" s="29">
      <c r="A35" s="28" t="inlineStr">
        <is>
          <t>PA Home Verified</t>
        </is>
      </c>
      <c r="B35" s="28">
        <f>COUNTIF('PA Home Verified'!$J$2:$J$500,"Primary source")</f>
        <v/>
      </c>
      <c r="C35" s="28">
        <f>COUNTIF('PA Home Verified'!$J$2:$J$500,"Secondary - unverified")</f>
        <v/>
      </c>
      <c r="D35" s="28">
        <f>COUNTIF('PA Home Verified'!$J$2:$J$500,"Conflicting")</f>
        <v/>
      </c>
      <c r="E35" s="28">
        <f>COUNTIF('PA Home Verified'!$J$2:$J$500,"Not researched")</f>
        <v/>
      </c>
      <c r="F35" s="28">
        <f>SUM(B35:E35)</f>
        <v/>
      </c>
    </row>
    <row r="36" ht="15" customHeight="1" s="29">
      <c r="A36" s="31" t="inlineStr">
        <is>
          <t>GA Auto Verified</t>
        </is>
      </c>
      <c r="B36" s="28">
        <f>COUNTIF('GA Auto Verified'!$J$2:$J$500,"Primary source")</f>
        <v/>
      </c>
      <c r="C36" s="28">
        <f>COUNTIF('GA Auto Verified'!$J$2:$J$500,"Secondary - unverified")</f>
        <v/>
      </c>
      <c r="D36" s="28">
        <f>COUNTIF('GA Auto Verified'!$J$2:$J$500,"Conflicting")</f>
        <v/>
      </c>
      <c r="E36" s="28">
        <f>COUNTIF('GA Auto Verified'!$J$2:$J$500,"Not researched")</f>
        <v/>
      </c>
      <c r="F36" s="28">
        <f>SUM(B36:E36)</f>
        <v/>
      </c>
    </row>
    <row r="37" ht="15" customHeight="1" s="29">
      <c r="A37" s="39" t="inlineStr">
        <is>
          <t>GA Home Verified</t>
        </is>
      </c>
      <c r="B37" s="39">
        <f>COUNTIF('GA Home Verified'!$J$2:$J$500,"Primary source")</f>
        <v/>
      </c>
      <c r="C37" s="28">
        <f>COUNTIF('GA Home Verified'!$J$2:$J$500,"Secondary - unverified")</f>
        <v/>
      </c>
      <c r="D37" s="28">
        <f>COUNTIF('GA Home Verified'!$J$2:$J$500,"Conflicting")</f>
        <v/>
      </c>
      <c r="E37" s="28">
        <f>COUNTIF('GA Home Verified'!$J$2:$J$500,"Not researched")</f>
        <v/>
      </c>
      <c r="F37" s="28">
        <f>SUM(B37:E37)</f>
        <v/>
      </c>
    </row>
    <row r="38" ht="15" customHeight="1" s="29">
      <c r="A38" s="39" t="inlineStr">
        <is>
          <t>NC Auto Verified</t>
        </is>
      </c>
      <c r="B38" s="39">
        <f>COUNTIF('NC Auto Verified'!$J$2:$J$500,"Primary source")</f>
        <v/>
      </c>
      <c r="C38" s="28">
        <f>COUNTIF('NC Auto Verified'!$J$2:$J$500,"Secondary - unverified")</f>
        <v/>
      </c>
      <c r="D38" s="28">
        <f>COUNTIF('NC Auto Verified'!$J$2:$J$500,"Conflicting")</f>
        <v/>
      </c>
      <c r="E38" s="28">
        <f>COUNTIF('NC Auto Verified'!$J$2:$J$500,"Not researched")</f>
        <v/>
      </c>
      <c r="F38" s="28">
        <f>SUM(B38:E38)</f>
        <v/>
      </c>
    </row>
    <row r="39" ht="15" customHeight="1" s="29">
      <c r="A39" s="39" t="inlineStr">
        <is>
          <t>NC Home Verified</t>
        </is>
      </c>
      <c r="B39" s="39">
        <f>COUNTIF('NC Home Verified'!$J$2:$J$500,"Primary source")</f>
        <v/>
      </c>
      <c r="C39" s="28">
        <f>COUNTIF('NC Home Verified'!$J$2:$J$500,"Secondary - unverified")</f>
        <v/>
      </c>
      <c r="D39" s="28">
        <f>COUNTIF('NC Home Verified'!$J$2:$J$500,"Conflicting")</f>
        <v/>
      </c>
      <c r="E39" s="28">
        <f>COUNTIF('NC Home Verified'!$J$2:$J$500,"Not researched")</f>
        <v/>
      </c>
      <c r="F39" s="28">
        <f>SUM(B39:E39)</f>
        <v/>
      </c>
    </row>
    <row r="40" ht="15" customHeight="1" s="29">
      <c r="A40" s="39" t="inlineStr">
        <is>
          <t>VA Auto Verified</t>
        </is>
      </c>
      <c r="B40" s="39">
        <f>COUNTIF('VA Auto Verified'!$J$2:$J$500,"Primary source")</f>
        <v/>
      </c>
      <c r="C40" s="28">
        <f>COUNTIF('VA Auto Verified'!$J$2:$J$500,"Secondary - unverified")</f>
        <v/>
      </c>
      <c r="D40" s="28">
        <f>COUNTIF('VA Auto Verified'!$J$2:$J$500,"Conflicting")</f>
        <v/>
      </c>
      <c r="E40" s="28">
        <f>COUNTIF('VA Auto Verified'!$J$2:$J$500,"Not researched")</f>
        <v/>
      </c>
      <c r="F40" s="28">
        <f>SUM(B40:E40)</f>
        <v/>
      </c>
    </row>
    <row r="41" ht="15" customHeight="1" s="29">
      <c r="A41" s="39" t="inlineStr">
        <is>
          <t>VA Home Verified</t>
        </is>
      </c>
      <c r="B41" s="39">
        <f>COUNTIF('VA Home Verified'!$J$2:$J$500,"Primary source")</f>
        <v/>
      </c>
      <c r="C41">
        <f>COUNTIF('VA Home Verified'!$J$2:$J$500,"Secondary - unverified")</f>
        <v/>
      </c>
      <c r="D41">
        <f>COUNTIF('VA Home Verified'!$J$2:$J$500,"Conflicting")</f>
        <v/>
      </c>
      <c r="E41">
        <f>COUNTIF('VA Home Verified'!$J$2:$J$500,"Not researched")</f>
        <v/>
      </c>
      <c r="F41">
        <f>SUM(B41:E41)</f>
        <v/>
      </c>
    </row>
    <row r="42" ht="15" customHeight="1" s="29">
      <c r="A42" s="39" t="inlineStr">
        <is>
          <t>All tabs</t>
        </is>
      </c>
      <c r="B42" s="39">
        <f>SUM(B17:B41)</f>
        <v/>
      </c>
      <c r="C42">
        <f>SUM(C17:C41)</f>
        <v/>
      </c>
      <c r="D42">
        <f>SUM(D17:D41)</f>
        <v/>
      </c>
      <c r="E42">
        <f>SUM(E17:E41)</f>
        <v/>
      </c>
      <c r="F42">
        <f>SUM(F17:F41)</f>
        <v/>
      </c>
    </row>
    <row r="43" ht="15" customHeight="1" s="29">
      <c r="A43" s="39" t="inlineStr">
        <is>
          <t>TX Home Verified</t>
        </is>
      </c>
      <c r="B43" s="39" t="inlineStr">
        <is>
          <t>Texas home facts from TDI, TWIA and secondary sources.</t>
        </is>
      </c>
    </row>
    <row r="44" ht="15" customHeight="1" s="29">
      <c r="A44" s="39" t="inlineStr">
        <is>
          <t>FL Home Verified</t>
        </is>
      </c>
      <c r="B44" s="39" t="inlineStr">
        <is>
          <t>Florida home facts: hurricane deductibles, Citizens and flood rules.</t>
        </is>
      </c>
    </row>
    <row r="45" ht="15" customHeight="1" s="29">
      <c r="A45" s="39" t="inlineStr">
        <is>
          <t>TX Auto Verified</t>
        </is>
      </c>
      <c r="B45" s="39" t="inlineStr">
        <is>
          <t>Texas auto facts from the TDI guide.</t>
        </is>
      </c>
    </row>
    <row r="46" ht="15" customHeight="1" s="29">
      <c r="A46" s="39" t="inlineStr">
        <is>
          <t>FL Auto Verified</t>
        </is>
      </c>
      <c r="B46" s="39" t="inlineStr">
        <is>
          <t>Florida auto facts from FLHSMV and Florida Statutes.</t>
        </is>
      </c>
    </row>
    <row r="47" ht="15" customHeight="1" s="29">
      <c r="A47" s="39" t="inlineStr">
        <is>
          <t>NY Auto Verified</t>
        </is>
      </c>
      <c r="B47" s="39" t="inlineStr">
        <is>
          <t>New York auto facts from the DFS consumer guide.</t>
        </is>
      </c>
    </row>
    <row r="48" ht="15" customHeight="1" s="29">
      <c r="A48" s="39" t="inlineStr">
        <is>
          <t>CA Home Verified</t>
        </is>
      </c>
      <c r="B48" s="39" t="inlineStr">
        <is>
          <t>California home insurance facts traced to CDI, CEA and FAIR Plan sources and CDI press releases.</t>
        </is>
      </c>
    </row>
    <row r="49" ht="15" customHeight="1" s="29">
      <c r="A49" s="39" t="inlineStr">
        <is>
          <t>CA Auto Verified</t>
        </is>
      </c>
      <c r="B49" s="39" t="inlineStr">
        <is>
          <t>California auto facts traced to primary sources (CDI, DMV, statutes and regulations).</t>
        </is>
      </c>
    </row>
    <row r="50" ht="15" customHeight="1" s="29">
      <c r="A50" s="39" t="inlineStr">
        <is>
          <t>State Min Limits</t>
        </is>
      </c>
      <c r="B50" s="39" t="inlineStr">
        <is>
          <t>Minimum auto liability limits by state (50 states + DC); most rows still to research.</t>
        </is>
      </c>
    </row>
    <row r="51" ht="15" customHeight="1" s="29">
      <c r="A51" s="39" t="inlineStr">
        <is>
          <t>Rating Factors</t>
        </is>
      </c>
      <c r="B51" s="39" t="inlineStr">
        <is>
          <t>Credit, gender and age rules by state for states researched.</t>
        </is>
      </c>
    </row>
    <row r="52" ht="15" customHeight="1" s="29">
      <c r="A52" s="39" t="inlineStr">
        <is>
          <t>Discounts</t>
        </is>
      </c>
      <c r="B52" s="39" t="inlineStr">
        <is>
          <t>Discount availability by state and carrier.</t>
        </is>
      </c>
    </row>
    <row r="53">
      <c r="A53" s="39" t="inlineStr">
        <is>
          <t>Telematics</t>
        </is>
      </c>
      <c r="B53" s="39" t="inlineStr">
        <is>
          <t>Usage-based programs by carrier.</t>
        </is>
      </c>
    </row>
    <row r="54">
      <c r="A54" s="39" t="inlineStr">
        <is>
          <t>Coverage Details</t>
        </is>
      </c>
      <c r="B54" s="39" t="inlineStr">
        <is>
          <t>Flood, earthquake, umbrella and other coverage facts.</t>
        </is>
      </c>
    </row>
    <row r="55">
      <c r="A55" s="39" t="inlineStr">
        <is>
          <t>Price Benchmarks</t>
        </is>
      </c>
      <c r="B55" s="39" t="inlineStr">
        <is>
          <t>Published average premiums with spread formulas.</t>
        </is>
      </c>
    </row>
    <row r="56">
      <c r="A56" s="28" t="inlineStr">
        <is>
          <t>Regulatory Watch</t>
        </is>
      </c>
      <c r="B56" s="28" t="inlineStr">
        <is>
          <t>Laws and rules to monitor.</t>
        </is>
      </c>
    </row>
    <row r="57">
      <c r="A57" s="28" t="inlineStr">
        <is>
          <t>Quote Source Options</t>
        </is>
      </c>
      <c r="B57" s="28" t="inlineStr">
        <is>
          <t>Ways to get real quotes and what each implies.</t>
        </is>
      </c>
    </row>
    <row r="58">
      <c r="A58" s="28" t="inlineStr">
        <is>
          <t>Legal Review Checklist</t>
        </is>
      </c>
      <c r="B58" s="28" t="inlineStr">
        <is>
          <t>Questions to bring to insurance-regulatory counsel.</t>
        </is>
      </c>
    </row>
    <row r="59">
      <c r="A59" s="28" t="inlineStr">
        <is>
          <t>Refresh Schedule</t>
        </is>
      </c>
      <c r="B59" s="28" t="inlineStr">
        <is>
          <t>Owners, review intervals and overdue checks (formulas).</t>
        </is>
      </c>
    </row>
    <row r="60">
      <c r="A60" s="28" t="inlineStr">
        <is>
          <t>Conflicts Log</t>
        </is>
      </c>
      <c r="B60" s="28" t="inlineStr">
        <is>
          <t>Where sources disagree and what to verify.</t>
        </is>
      </c>
    </row>
    <row r="61">
      <c r="A61" s="28" t="inlineStr">
        <is>
          <t>Sources</t>
        </is>
      </c>
      <c r="B61" s="28" t="inlineStr">
        <is>
          <t>Every source used, with type and reliability note.</t>
        </is>
      </c>
    </row>
    <row r="62">
      <c r="A62" s="28" t="inlineStr">
        <is>
          <t>Tabs (additional entries below)</t>
        </is>
      </c>
      <c r="B62" s="28" t="inlineStr">
        <is>
          <t>Illinois auto facts from the IDOI shopping guide and the Illinois credit-scoring statute.</t>
        </is>
      </c>
    </row>
    <row r="63">
      <c r="A63" s="28" t="inlineStr">
        <is>
          <t>NY Home Verified</t>
        </is>
      </c>
      <c r="B63" s="28" t="inlineStr">
        <is>
          <t>New York home facts from the DFS homeowners guide, NYPIUA, and the cancellations/non-renewals and discounts pages.</t>
        </is>
      </c>
    </row>
    <row r="64">
      <c r="A64" s="28" t="inlineStr">
        <is>
          <t>IL Auto Verified</t>
        </is>
      </c>
      <c r="B64" s="28" t="inlineStr">
        <is>
          <t>Illinois auto facts from the IDOI shopping guide and the Illinois credit-scoring statute.</t>
        </is>
      </c>
    </row>
    <row r="65">
      <c r="A65" s="28" t="inlineStr">
        <is>
          <t>IL Home Verified</t>
        </is>
      </c>
      <c r="B65" s="28" t="inlineStr">
        <is>
          <t>Illinois home facts from the IDOI homeowner guide, the Illinois FAIR Plan, non-renewal rules, and the credit-scoring statute.</t>
        </is>
      </c>
    </row>
    <row r="66">
      <c r="A66" s="28" t="inlineStr">
        <is>
          <t>PA Auto Verified</t>
        </is>
      </c>
      <c r="B66" s="28" t="inlineStr">
        <is>
          <t>Pennsylvania auto facts from the official IDOI Automobile Insurance Guide.</t>
        </is>
      </c>
    </row>
    <row r="67">
      <c r="A67" s="28" t="inlineStr">
        <is>
          <t>PA Home Verified</t>
        </is>
      </c>
      <c r="B67" s="28" t="inlineStr">
        <is>
          <t>Pennsylvania home facts from the official IDOI Homeowners Insurance Guide and the PA FAIR Plan.</t>
        </is>
      </c>
    </row>
    <row r="68">
      <c r="A68" s="28" t="inlineStr">
        <is>
          <t>GA Auto Verified</t>
        </is>
      </c>
      <c r="B68" s="28" t="inlineStr">
        <is>
          <t>Georgia auto facts from the official OCI Consumer Guide for Automobile Insurance.</t>
        </is>
      </c>
    </row>
    <row r="69">
      <c r="A69" s="28" t="inlineStr">
        <is>
          <t>GA Home Verified</t>
        </is>
      </c>
      <c r="B69" s="28" t="inlineStr">
        <is>
          <t>Georgia home facts from the official OCI Consumer Guide for Homeowners Insurance and the Georgia FAIR Plan.</t>
        </is>
      </c>
    </row>
    <row r="70">
      <c r="A70" t="inlineStr">
        <is>
          <t>NC Auto Verified</t>
        </is>
      </c>
      <c r="B70" t="inlineStr">
        <is>
          <t>North Carolina auto facts from NCDOI and the NC DMV.</t>
        </is>
      </c>
    </row>
    <row r="71">
      <c r="A71" t="inlineStr">
        <is>
          <t>NC Home Verified</t>
        </is>
      </c>
      <c r="B71" t="inlineStr">
        <is>
          <t>North Carolina home facts from the NCJUA/NCIUA FAIR and Beach Plans.</t>
        </is>
      </c>
    </row>
    <row r="72">
      <c r="A72" t="inlineStr">
        <is>
          <t>VA Auto Verified</t>
        </is>
      </c>
      <c r="B72" t="inlineStr">
        <is>
          <t>Virginia auto facts from the official VA DMV insurance-requirements page.</t>
        </is>
      </c>
    </row>
    <row r="73">
      <c r="A73" t="inlineStr">
        <is>
          <t>VA Home Verified</t>
        </is>
      </c>
      <c r="B73" t="inlineStr">
        <is>
          <t>Virginia home facts from the Virginia Property Insurance Association (VPIA / FAIR Plan).</t>
        </is>
      </c>
    </row>
  </sheetData>
  <mergeCells count="24">
    <mergeCell ref="B7:F7"/>
    <mergeCell ref="B47:F47"/>
    <mergeCell ref="B54:F54"/>
    <mergeCell ref="B3:F3"/>
    <mergeCell ref="B46:F46"/>
    <mergeCell ref="B56:F56"/>
    <mergeCell ref="B58:F58"/>
    <mergeCell ref="B52:F52"/>
    <mergeCell ref="B43:F43"/>
    <mergeCell ref="B12:F12"/>
    <mergeCell ref="B48:F48"/>
    <mergeCell ref="B11:F11"/>
    <mergeCell ref="B13:F13"/>
    <mergeCell ref="B57:F57"/>
    <mergeCell ref="B53:F53"/>
    <mergeCell ref="B44:F44"/>
    <mergeCell ref="B10:F10"/>
    <mergeCell ref="B49:F49"/>
    <mergeCell ref="B55:F55"/>
    <mergeCell ref="B6:F6"/>
    <mergeCell ref="B5:F5"/>
    <mergeCell ref="B51:F51"/>
    <mergeCell ref="B45:F45"/>
    <mergeCell ref="B50:F5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0" customWidth="1" style="28" min="1" max="1"/>
    <col width="34" customWidth="1" style="28" min="2" max="2"/>
    <col width="52" customWidth="1" style="28" min="3" max="3"/>
    <col width="34" customWidth="1" style="28" min="4" max="4"/>
    <col width="42" customWidth="1" style="28" min="5" max="5"/>
    <col width="52" customWidth="1" style="28" min="6" max="6"/>
    <col width="12" customWidth="1" style="28" min="7" max="7"/>
    <col width="20" customWidth="1" style="28" min="8" max="8"/>
    <col width="24" customWidth="1" style="28" min="9" max="9"/>
    <col width="18" customWidth="1" style="28" min="10" max="10"/>
    <col width="12" customWidth="1" style="28" min="11" max="11"/>
    <col width="58" customWidth="1" style="28" min="12" max="12"/>
  </cols>
  <sheetData>
    <row r="1" ht="31.5" customHeight="1" s="29">
      <c r="A1" s="40" t="inlineStr">
        <is>
          <t>Topic</t>
        </is>
      </c>
      <c r="B1" s="40" t="inlineStr">
        <is>
          <t>Fact</t>
        </is>
      </c>
      <c r="C1" s="40" t="inlineStr">
        <is>
          <t>Value</t>
        </is>
      </c>
      <c r="D1" s="40" t="inlineStr">
        <is>
          <t>Legal Citation</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23.85" customHeight="1" s="29">
      <c r="A2" s="41" t="inlineStr">
        <is>
          <t>Minimum liability</t>
        </is>
      </c>
      <c r="B2" s="41" t="inlineStr">
        <is>
          <t>Bodily injury per person</t>
        </is>
      </c>
      <c r="C2" s="41" t="inlineStr">
        <is>
          <t>$30,000</t>
        </is>
      </c>
      <c r="D2" s="41" t="inlineStr">
        <is>
          <t>Ins. Code 11580.1(b) (per DMV)</t>
        </is>
      </c>
      <c r="E2" s="41" t="inlineStr">
        <is>
          <t>CA DMV - Auto Insurance Requirements (modified Jul 10, 2025)</t>
        </is>
      </c>
      <c r="F2" s="42" t="inlineStr">
        <is>
          <t>https://www.dmv.ca.gov/portal/vehicle-registration/insurance-requirements/</t>
        </is>
      </c>
      <c r="G2" s="43" t="n">
        <v>46295</v>
      </c>
      <c r="H2" s="41" t="inlineStr">
        <is>
          <t>California</t>
        </is>
      </c>
      <c r="I2" s="41" t="inlineStr">
        <is>
          <t>Regulator-published</t>
        </is>
      </c>
      <c r="J2" s="44" t="inlineStr">
        <is>
          <t>Primary source</t>
        </is>
      </c>
      <c r="K2" s="43" t="n">
        <v>46295</v>
      </c>
      <c r="L2" s="41" t="inlineStr">
        <is>
          <t>CDI Form 101 states the same limits.</t>
        </is>
      </c>
    </row>
    <row r="3" ht="23.85" customHeight="1" s="29">
      <c r="A3" s="41" t="inlineStr">
        <is>
          <t>Minimum liability</t>
        </is>
      </c>
      <c r="B3" s="41" t="inlineStr">
        <is>
          <t>Bodily injury per accident</t>
        </is>
      </c>
      <c r="C3" s="41" t="inlineStr">
        <is>
          <t>$60,000</t>
        </is>
      </c>
      <c r="D3" s="41" t="inlineStr">
        <is>
          <t>Ins. Code 11580.1(b) (per DMV)</t>
        </is>
      </c>
      <c r="E3" s="41" t="inlineStr">
        <is>
          <t>CA DMV - Auto Insurance Requirements (modified Jul 10, 2025)</t>
        </is>
      </c>
      <c r="F3" s="42" t="inlineStr">
        <is>
          <t>https://www.dmv.ca.gov/portal/vehicle-registration/insurance-requirements/</t>
        </is>
      </c>
      <c r="G3" s="43" t="n">
        <v>46295</v>
      </c>
      <c r="H3" s="41" t="inlineStr">
        <is>
          <t>California</t>
        </is>
      </c>
      <c r="I3" s="41" t="inlineStr">
        <is>
          <t>Regulator-published</t>
        </is>
      </c>
      <c r="J3" s="44" t="inlineStr">
        <is>
          <t>Primary source</t>
        </is>
      </c>
      <c r="K3" s="43" t="n">
        <v>46295</v>
      </c>
      <c r="L3" s="41" t="n"/>
    </row>
    <row r="4" ht="23.85" customHeight="1" s="29">
      <c r="A4" s="41" t="inlineStr">
        <is>
          <t>Minimum liability</t>
        </is>
      </c>
      <c r="B4" s="41" t="inlineStr">
        <is>
          <t>Property damage</t>
        </is>
      </c>
      <c r="C4" s="41" t="inlineStr">
        <is>
          <t>$15,000</t>
        </is>
      </c>
      <c r="D4" s="41" t="inlineStr">
        <is>
          <t>Ins. Code 11580.1(b) (per DMV)</t>
        </is>
      </c>
      <c r="E4" s="41" t="inlineStr">
        <is>
          <t>CA DMV - Auto Insurance Requirements (modified Jul 10, 2025)</t>
        </is>
      </c>
      <c r="F4" s="42" t="inlineStr">
        <is>
          <t>https://www.dmv.ca.gov/portal/vehicle-registration/insurance-requirements/</t>
        </is>
      </c>
      <c r="G4" s="43" t="n">
        <v>46295</v>
      </c>
      <c r="H4" s="41" t="inlineStr">
        <is>
          <t>California</t>
        </is>
      </c>
      <c r="I4" s="41" t="inlineStr">
        <is>
          <t>Regulator-published</t>
        </is>
      </c>
      <c r="J4" s="44" t="inlineStr">
        <is>
          <t>Primary source</t>
        </is>
      </c>
      <c r="K4" s="43" t="n">
        <v>46295</v>
      </c>
      <c r="L4" s="41" t="n"/>
    </row>
    <row r="5" ht="23.85" customHeight="1" s="29">
      <c r="A5" s="41" t="inlineStr">
        <is>
          <t>Minimum liability</t>
        </is>
      </c>
      <c r="B5" s="41" t="inlineStr">
        <is>
          <t>Timing of increase</t>
        </is>
      </c>
      <c r="C5" s="41" t="inlineStr">
        <is>
          <t>Increased limits begin 2025 under SB 1107</t>
        </is>
      </c>
      <c r="D5" s="41" t="inlineStr">
        <is>
          <t>SB 1107 (2022)</t>
        </is>
      </c>
      <c r="E5" s="41" t="inlineStr">
        <is>
          <t>CA Dept of Insurance - Low Cost Auto consumer alert (Jul 23, 2024)</t>
        </is>
      </c>
      <c r="F5" s="42" t="inlineStr">
        <is>
          <t>https://www.insurance.ca.gov/0400-news/0102-alerts/2024/California-s-Low-Cost-Auto-Insurance.cfm</t>
        </is>
      </c>
      <c r="G5" s="43" t="n">
        <v>46295</v>
      </c>
      <c r="H5" s="41" t="inlineStr">
        <is>
          <t>California</t>
        </is>
      </c>
      <c r="I5" s="41" t="inlineStr">
        <is>
          <t>Regulator-published</t>
        </is>
      </c>
      <c r="J5" s="44" t="inlineStr">
        <is>
          <t>Primary source</t>
        </is>
      </c>
      <c r="K5" s="43" t="n">
        <v>46295</v>
      </c>
      <c r="L5" s="41" t="inlineStr">
        <is>
          <t>CDI alert says liability limits increase beginning 2025.</t>
        </is>
      </c>
    </row>
    <row r="6" ht="23.85" customHeight="1" s="29">
      <c r="A6" s="41" t="inlineStr">
        <is>
          <t>Minimum liability</t>
        </is>
      </c>
      <c r="B6" s="41" t="inlineStr">
        <is>
          <t>Existing policies adjust at renewal</t>
        </is>
      </c>
      <c r="C6" s="41" t="inlineStr">
        <is>
          <t>Policies renew at the new limits</t>
        </is>
      </c>
      <c r="D6" s="41" t="inlineStr">
        <is>
          <t>Per law-firm summary of CDI position</t>
        </is>
      </c>
      <c r="E6" s="41" t="inlineStr">
        <is>
          <t>CarInsurance.com - Minimum liability by state (Apr 2026)</t>
        </is>
      </c>
      <c r="F6" s="42" t="inlineStr">
        <is>
          <t>https://www.carinsurance.com/Articles/minimum-liability-car-insurance-requirements-by-state.aspx</t>
        </is>
      </c>
      <c r="G6" s="43" t="n">
        <v>46295</v>
      </c>
      <c r="H6" s="41" t="inlineStr">
        <is>
          <t>California</t>
        </is>
      </c>
      <c r="I6" s="41" t="inlineStr">
        <is>
          <t>Reference data (secondary source)</t>
        </is>
      </c>
      <c r="J6" s="45" t="inlineStr">
        <is>
          <t>Secondary - unverified</t>
        </is>
      </c>
      <c r="K6" s="43" t="n">
        <v>46295</v>
      </c>
      <c r="L6" s="41" t="inlineStr">
        <is>
          <t>Verify with CDI.</t>
        </is>
      </c>
    </row>
    <row r="7" ht="35.05" customHeight="1" s="29">
      <c r="A7" s="41" t="inlineStr">
        <is>
          <t>Minimum liability</t>
        </is>
      </c>
      <c r="B7" s="41" t="inlineStr">
        <is>
          <t>Scheduled second increase</t>
        </is>
      </c>
      <c r="C7" s="41" t="inlineStr">
        <is>
          <t>On Jan 1, 2035 minimums rise by $20,000 (per person), $40,000 (per accident) and $10,000 (property damage): 50/100/25</t>
        </is>
      </c>
      <c r="D7" s="41" t="inlineStr">
        <is>
          <t>SB 1107 (2022) text</t>
        </is>
      </c>
      <c r="E7" s="41" t="inlineStr">
        <is>
          <t>SB 1107 (2021-22) enrolled bill text - Vehicles: insurance (leginfo)</t>
        </is>
      </c>
      <c r="F7" s="42" t="inlineStr">
        <is>
          <t>https://leginfo.legislature.ca.gov/faces/billNavClient.xhtml?bill_id=202120220SB1107</t>
        </is>
      </c>
      <c r="G7" s="43" t="n">
        <v>46295</v>
      </c>
      <c r="H7" s="41" t="inlineStr">
        <is>
          <t>California</t>
        </is>
      </c>
      <c r="I7" s="41" t="inlineStr">
        <is>
          <t>Statute / regulation text</t>
        </is>
      </c>
      <c r="J7" s="44" t="inlineStr">
        <is>
          <t>Primary source</t>
        </is>
      </c>
      <c r="K7" s="43" t="n">
        <v>46295</v>
      </c>
      <c r="L7" s="41" t="inlineStr">
        <is>
          <t>Confirmed in the bill text on leginfo. Agency and law-firm sites report the same 50/100/25.</t>
        </is>
      </c>
    </row>
    <row r="8" ht="23.85" customHeight="1" s="29">
      <c r="A8" s="41" t="inlineStr">
        <is>
          <t>Financial responsibility</t>
        </is>
      </c>
      <c r="B8" s="41" t="inlineStr">
        <is>
          <t>Alternatives to insurance (DMV)</t>
        </is>
      </c>
      <c r="C8" s="41" t="inlineStr">
        <is>
          <t>Cash deposit $75,000; surety bond $75,000; DMV self-insurance certificate</t>
        </is>
      </c>
      <c r="D8" s="41" t="inlineStr">
        <is>
          <t>DMV page (Jul 2025); SB 1107</t>
        </is>
      </c>
      <c r="E8" s="41" t="inlineStr">
        <is>
          <t>CA DMV - Auto Insurance Requirements (modified Jul 10, 2025)</t>
        </is>
      </c>
      <c r="F8" s="42" t="inlineStr">
        <is>
          <t>https://www.dmv.ca.gov/portal/vehicle-registration/insurance-requirements/</t>
        </is>
      </c>
      <c r="G8" s="43" t="n">
        <v>46295</v>
      </c>
      <c r="H8" s="41" t="inlineStr">
        <is>
          <t>California</t>
        </is>
      </c>
      <c r="I8" s="41" t="inlineStr">
        <is>
          <t>Regulator-published</t>
        </is>
      </c>
      <c r="J8" s="44" t="inlineStr">
        <is>
          <t>Primary source</t>
        </is>
      </c>
      <c r="K8" s="43" t="n">
        <v>46295</v>
      </c>
      <c r="L8" s="41" t="inlineStr">
        <is>
          <t>Resolved: SB 1107 raised the deposit to $75,000 (and by $50,000 more on Jan 1, 2035). CDI Form 101's $35,000 figure is out of date.</t>
        </is>
      </c>
    </row>
    <row r="9" ht="23.85" customHeight="1" s="29">
      <c r="A9" s="41" t="inlineStr">
        <is>
          <t>Financial responsibility</t>
        </is>
      </c>
      <c r="B9" s="41" t="inlineStr">
        <is>
          <t>Collision/comprehensive</t>
        </is>
      </c>
      <c r="C9" s="41" t="inlineStr">
        <is>
          <t>Do not satisfy financial responsibility</t>
        </is>
      </c>
      <c r="D9" s="41" t="inlineStr">
        <is>
          <t>DMV page</t>
        </is>
      </c>
      <c r="E9" s="41" t="inlineStr">
        <is>
          <t>CA DMV - Auto Insurance Requirements (modified Jul 10, 2025)</t>
        </is>
      </c>
      <c r="F9" s="42" t="inlineStr">
        <is>
          <t>https://www.dmv.ca.gov/portal/vehicle-registration/insurance-requirements/</t>
        </is>
      </c>
      <c r="G9" s="43" t="n">
        <v>46295</v>
      </c>
      <c r="H9" s="41" t="inlineStr">
        <is>
          <t>California</t>
        </is>
      </c>
      <c r="I9" s="41" t="inlineStr">
        <is>
          <t>Regulator-published</t>
        </is>
      </c>
      <c r="J9" s="44" t="inlineStr">
        <is>
          <t>Primary source</t>
        </is>
      </c>
      <c r="K9" s="43" t="n">
        <v>46295</v>
      </c>
      <c r="L9" s="41" t="inlineStr">
        <is>
          <t>Liability is the only required coverage.</t>
        </is>
      </c>
    </row>
    <row r="10" ht="23.85" customHeight="1" s="29">
      <c r="A10" s="41" t="inlineStr">
        <is>
          <t>Financial responsibility</t>
        </is>
      </c>
      <c r="B10" s="41" t="inlineStr">
        <is>
          <t>When proof must be shown</t>
        </is>
      </c>
      <c r="C10" s="41" t="inlineStr">
        <is>
          <t>On request by law enforcement, at registration renewal, after a collision</t>
        </is>
      </c>
      <c r="D10" s="41" t="inlineStr">
        <is>
          <t>DMV page</t>
        </is>
      </c>
      <c r="E10" s="41" t="inlineStr">
        <is>
          <t>CA DMV - Auto Insurance Requirements (modified Jul 10, 2025)</t>
        </is>
      </c>
      <c r="F10" s="42" t="inlineStr">
        <is>
          <t>https://www.dmv.ca.gov/portal/vehicle-registration/insurance-requirements/</t>
        </is>
      </c>
      <c r="G10" s="43" t="n">
        <v>46295</v>
      </c>
      <c r="H10" s="41" t="inlineStr">
        <is>
          <t>California</t>
        </is>
      </c>
      <c r="I10" s="41" t="inlineStr">
        <is>
          <t>Regulator-published</t>
        </is>
      </c>
      <c r="J10" s="44" t="inlineStr">
        <is>
          <t>Primary source</t>
        </is>
      </c>
      <c r="K10" s="43" t="n">
        <v>46295</v>
      </c>
      <c r="L10" s="41" t="inlineStr">
        <is>
          <t>Registration is suspended if DMV does not receive proof.</t>
        </is>
      </c>
    </row>
    <row r="11" ht="23.85" customHeight="1" s="29">
      <c r="A11" s="41" t="inlineStr">
        <is>
          <t>Financial responsibility</t>
        </is>
      </c>
      <c r="B11" s="41" t="inlineStr">
        <is>
          <t>Insurers report to DMV</t>
        </is>
      </c>
      <c r="C11" s="41" t="inlineStr">
        <is>
          <t>Electronic reporting required</t>
        </is>
      </c>
      <c r="D11" s="41" t="inlineStr">
        <is>
          <t>Veh. Code 16058 (per DMV)</t>
        </is>
      </c>
      <c r="E11" s="41" t="inlineStr">
        <is>
          <t>CA DMV - Auto Insurance Requirements (modified Jul 10, 2025)</t>
        </is>
      </c>
      <c r="F11" s="42" t="inlineStr">
        <is>
          <t>https://www.dmv.ca.gov/portal/vehicle-registration/insurance-requirements/</t>
        </is>
      </c>
      <c r="G11" s="43" t="n">
        <v>46295</v>
      </c>
      <c r="H11" s="41" t="inlineStr">
        <is>
          <t>California</t>
        </is>
      </c>
      <c r="I11" s="41" t="inlineStr">
        <is>
          <t>Regulator-published</t>
        </is>
      </c>
      <c r="J11" s="44" t="inlineStr">
        <is>
          <t>Primary source</t>
        </is>
      </c>
      <c r="K11" s="43" t="n">
        <v>46295</v>
      </c>
      <c r="L11" s="41" t="n"/>
    </row>
    <row r="12" ht="23.85" customHeight="1" s="29">
      <c r="A12" s="41" t="inlineStr">
        <is>
          <t>Other coverages</t>
        </is>
      </c>
      <c r="B12" s="41" t="inlineStr">
        <is>
          <t>Uninsured/underinsured motorist</t>
        </is>
      </c>
      <c r="C12" s="41" t="inlineStr">
        <is>
          <t>Must be offered; can be declined by signed waiver; UMBI limits equal liability limits</t>
        </is>
      </c>
      <c r="D12" s="41" t="inlineStr">
        <is>
          <t>CDI Form 101</t>
        </is>
      </c>
      <c r="E12" s="41" t="inlineStr">
        <is>
          <t>CA Dept of Insurance - Introduction to Auto Insurance (Form 101, rev. Feb 5, 2025)</t>
        </is>
      </c>
      <c r="F12" s="42" t="inlineStr">
        <is>
          <t>https://www.insurance.ca.gov/01-consumers/105-type/95-guides/01-auto/auto101.cfm</t>
        </is>
      </c>
      <c r="G12" s="43" t="n">
        <v>46295</v>
      </c>
      <c r="H12" s="41" t="inlineStr">
        <is>
          <t>California</t>
        </is>
      </c>
      <c r="I12" s="41" t="inlineStr">
        <is>
          <t>Regulator-published</t>
        </is>
      </c>
      <c r="J12" s="44" t="inlineStr">
        <is>
          <t>Primary source</t>
        </is>
      </c>
      <c r="K12" s="43" t="n">
        <v>46295</v>
      </c>
      <c r="L12" s="41" t="n"/>
    </row>
    <row r="13" ht="23.85" customHeight="1" s="29">
      <c r="A13" s="41" t="inlineStr">
        <is>
          <t>Other coverages</t>
        </is>
      </c>
      <c r="B13" s="41" t="inlineStr">
        <is>
          <t>UM property damage limit</t>
        </is>
      </c>
      <c r="C13" s="41" t="inlineStr">
        <is>
          <t>$3,500 (only if uninsured driver identified)</t>
        </is>
      </c>
      <c r="D13" s="41" t="inlineStr">
        <is>
          <t>CDI Form 101</t>
        </is>
      </c>
      <c r="E13" s="41" t="inlineStr">
        <is>
          <t>CA Dept of Insurance - Introduction to Auto Insurance (Form 101, rev. Feb 5, 2025)</t>
        </is>
      </c>
      <c r="F13" s="42" t="inlineStr">
        <is>
          <t>https://www.insurance.ca.gov/01-consumers/105-type/95-guides/01-auto/auto101.cfm</t>
        </is>
      </c>
      <c r="G13" s="43" t="n">
        <v>46295</v>
      </c>
      <c r="H13" s="41" t="inlineStr">
        <is>
          <t>California</t>
        </is>
      </c>
      <c r="I13" s="41" t="inlineStr">
        <is>
          <t>Regulator-published</t>
        </is>
      </c>
      <c r="J13" s="44" t="inlineStr">
        <is>
          <t>Primary source</t>
        </is>
      </c>
      <c r="K13" s="43" t="n">
        <v>46295</v>
      </c>
      <c r="L13" s="41" t="n"/>
    </row>
    <row r="14" ht="23.85" customHeight="1" s="29">
      <c r="A14" s="41" t="inlineStr">
        <is>
          <t>Other coverages</t>
        </is>
      </c>
      <c r="B14" s="41" t="inlineStr">
        <is>
          <t>Medical payments</t>
        </is>
      </c>
      <c r="C14" s="41" t="inlineStr">
        <is>
          <t>Optional; minimum limit you can buy is $1,000 per person</t>
        </is>
      </c>
      <c r="D14" s="41" t="inlineStr">
        <is>
          <t>CDI Form 101</t>
        </is>
      </c>
      <c r="E14" s="41" t="inlineStr">
        <is>
          <t>CA Dept of Insurance - Introduction to Auto Insurance (Form 101, rev. Feb 5, 2025)</t>
        </is>
      </c>
      <c r="F14" s="42" t="inlineStr">
        <is>
          <t>https://www.insurance.ca.gov/01-consumers/105-type/95-guides/01-auto/auto101.cfm</t>
        </is>
      </c>
      <c r="G14" s="43" t="n">
        <v>46295</v>
      </c>
      <c r="H14" s="41" t="inlineStr">
        <is>
          <t>California</t>
        </is>
      </c>
      <c r="I14" s="41" t="inlineStr">
        <is>
          <t>Regulator-published</t>
        </is>
      </c>
      <c r="J14" s="44" t="inlineStr">
        <is>
          <t>Primary source</t>
        </is>
      </c>
      <c r="K14" s="43" t="n">
        <v>46295</v>
      </c>
      <c r="L14" s="41" t="n"/>
    </row>
    <row r="15" ht="23.85" customHeight="1" s="29">
      <c r="A15" s="41" t="inlineStr">
        <is>
          <t>Fault and claims</t>
        </is>
      </c>
      <c r="B15" s="41" t="inlineStr">
        <is>
          <t>Fault rule</t>
        </is>
      </c>
      <c r="C15" s="41" t="inlineStr">
        <is>
          <t>Comparative negligence</t>
        </is>
      </c>
      <c r="D15" s="41" t="inlineStr">
        <is>
          <t>CDI Form 101</t>
        </is>
      </c>
      <c r="E15" s="41" t="inlineStr">
        <is>
          <t>CA Dept of Insurance - Introduction to Auto Insurance (Form 101, rev. Feb 5, 2025)</t>
        </is>
      </c>
      <c r="F15" s="42" t="inlineStr">
        <is>
          <t>https://www.insurance.ca.gov/01-consumers/105-type/95-guides/01-auto/auto101.cfm</t>
        </is>
      </c>
      <c r="G15" s="43" t="n">
        <v>46295</v>
      </c>
      <c r="H15" s="41" t="inlineStr">
        <is>
          <t>California</t>
        </is>
      </c>
      <c r="I15" s="41" t="inlineStr">
        <is>
          <t>Regulator-published</t>
        </is>
      </c>
      <c r="J15" s="44" t="inlineStr">
        <is>
          <t>Primary source</t>
        </is>
      </c>
      <c r="K15" s="43" t="n">
        <v>46295</v>
      </c>
      <c r="L15" s="41" t="n"/>
    </row>
    <row r="16" ht="23.85" customHeight="1" s="29">
      <c r="A16" s="41" t="inlineStr">
        <is>
          <t>Fault and claims</t>
        </is>
      </c>
      <c r="B16" s="41" t="inlineStr">
        <is>
          <t>Surcharge after an accident</t>
        </is>
      </c>
      <c r="C16" s="41" t="inlineStr">
        <is>
          <t>None if not at fault; can apply at renewal if at least 51% at fault</t>
        </is>
      </c>
      <c r="D16" s="41" t="inlineStr">
        <is>
          <t>CDI Form 101</t>
        </is>
      </c>
      <c r="E16" s="41" t="inlineStr">
        <is>
          <t>CA Dept of Insurance - Introduction to Auto Insurance (Form 101, rev. Feb 5, 2025)</t>
        </is>
      </c>
      <c r="F16" s="42" t="inlineStr">
        <is>
          <t>https://www.insurance.ca.gov/01-consumers/105-type/95-guides/01-auto/auto101.cfm</t>
        </is>
      </c>
      <c r="G16" s="43" t="n">
        <v>46295</v>
      </c>
      <c r="H16" s="41" t="inlineStr">
        <is>
          <t>California</t>
        </is>
      </c>
      <c r="I16" s="41" t="inlineStr">
        <is>
          <t>Regulator-published</t>
        </is>
      </c>
      <c r="J16" s="44" t="inlineStr">
        <is>
          <t>Primary source</t>
        </is>
      </c>
      <c r="K16" s="43" t="n">
        <v>46295</v>
      </c>
      <c r="L16" s="41" t="n"/>
    </row>
    <row r="17" ht="23.85" customHeight="1" s="29">
      <c r="A17" s="41" t="inlineStr">
        <is>
          <t>Fault and claims</t>
        </is>
      </c>
      <c r="B17" s="41" t="inlineStr">
        <is>
          <t>Reasons a policy can be cancelled or non-renewed</t>
        </is>
      </c>
      <c r="C17" s="41" t="inlineStr">
        <is>
          <t>Fraud/material misrepresentation; non-payment; substantial increase in hazard</t>
        </is>
      </c>
      <c r="D17" s="41" t="inlineStr">
        <is>
          <t>CDI Form 101</t>
        </is>
      </c>
      <c r="E17" s="41" t="inlineStr">
        <is>
          <t>CA Dept of Insurance - Introduction to Auto Insurance (Form 101, rev. Feb 5, 2025)</t>
        </is>
      </c>
      <c r="F17" s="42" t="inlineStr">
        <is>
          <t>https://www.insurance.ca.gov/01-consumers/105-type/95-guides/01-auto/auto101.cfm</t>
        </is>
      </c>
      <c r="G17" s="43" t="n">
        <v>46295</v>
      </c>
      <c r="H17" s="41" t="inlineStr">
        <is>
          <t>California</t>
        </is>
      </c>
      <c r="I17" s="41" t="inlineStr">
        <is>
          <t>Regulator-published</t>
        </is>
      </c>
      <c r="J17" s="44" t="inlineStr">
        <is>
          <t>Primary source</t>
        </is>
      </c>
      <c r="K17" s="43" t="n">
        <v>46295</v>
      </c>
      <c r="L17" s="41" t="n"/>
    </row>
    <row r="18" ht="23.85" customHeight="1" s="29">
      <c r="A18" s="41" t="inlineStr">
        <is>
          <t>Rating factors</t>
        </is>
      </c>
      <c r="B18" s="41" t="inlineStr">
        <is>
          <t>Mandatory factors (in order of importance)</t>
        </is>
      </c>
      <c r="C18" s="41" t="inlineStr">
        <is>
          <t>1) driving safety record 2) annual miles 3) years of driving experience</t>
        </is>
      </c>
      <c r="D18" s="41" t="inlineStr">
        <is>
          <t>Ins. Code 1861.02(a); 10 CCR 2632.5(c)</t>
        </is>
      </c>
      <c r="E18" s="41" t="inlineStr">
        <is>
          <t>10 CCR section 2632.5 - Rating Factors (text via Cornell LII)</t>
        </is>
      </c>
      <c r="F18" s="42" t="inlineStr">
        <is>
          <t>https://www.law.cornell.edu/regulations/california/10-CCR-2632.5</t>
        </is>
      </c>
      <c r="G18" s="43" t="n">
        <v>46295</v>
      </c>
      <c r="H18" s="41" t="inlineStr">
        <is>
          <t>California</t>
        </is>
      </c>
      <c r="I18" s="41" t="inlineStr">
        <is>
          <t>Statute / regulation text</t>
        </is>
      </c>
      <c r="J18" s="44" t="inlineStr">
        <is>
          <t>Primary source</t>
        </is>
      </c>
      <c r="K18" s="43" t="n">
        <v>46295</v>
      </c>
      <c r="L18" s="41" t="inlineStr">
        <is>
          <t>Factors after the third must be on the Commissioner's approved list.</t>
        </is>
      </c>
    </row>
    <row r="19" ht="57.45" customHeight="1" s="29">
      <c r="A19" s="41" t="inlineStr">
        <is>
          <t>Rating factors</t>
        </is>
      </c>
      <c r="B19" s="41" t="inlineStr">
        <is>
          <t>Optional factors currently listed</t>
        </is>
      </c>
      <c r="C19" s="41" t="inlineStr">
        <is>
          <t>Vehicle type; performance; type of use; percent use; multi-vehicle household; academic standing; driver training; vehicle characteristics; marital status; persistency; non-smoker; secondary driver characteristics; multi-policy; relative claims frequency; relative claims severity</t>
        </is>
      </c>
      <c r="D19" s="41" t="inlineStr">
        <is>
          <t>10 CCR 2632.5(d)</t>
        </is>
      </c>
      <c r="E19" s="41" t="inlineStr">
        <is>
          <t>10 CCR section 2632.5 - Rating Factors (text via Cornell LII)</t>
        </is>
      </c>
      <c r="F19" s="42" t="inlineStr">
        <is>
          <t>https://www.law.cornell.edu/regulations/california/10-CCR-2632.5</t>
        </is>
      </c>
      <c r="G19" s="43" t="n">
        <v>46295</v>
      </c>
      <c r="H19" s="41" t="inlineStr">
        <is>
          <t>California</t>
        </is>
      </c>
      <c r="I19" s="41" t="inlineStr">
        <is>
          <t>Statute / regulation text</t>
        </is>
      </c>
      <c r="J19" s="44" t="inlineStr">
        <is>
          <t>Primary source</t>
        </is>
      </c>
      <c r="K19" s="43" t="n">
        <v>46295</v>
      </c>
      <c r="L19" s="41" t="inlineStr">
        <is>
          <t>Advisory Notice 2005-02 counted 16 optional factors; one was repealed effective Jan 1, 2019 (reported as gender). Confirm.</t>
        </is>
      </c>
    </row>
    <row r="20" ht="35.05" customHeight="1" s="29">
      <c r="A20" s="41" t="inlineStr">
        <is>
          <t>Rating factors</t>
        </is>
      </c>
      <c r="B20" s="41" t="inlineStr">
        <is>
          <t>Location</t>
        </is>
      </c>
      <c r="C20" s="41" t="inlineStr">
        <is>
          <t>Only through claims frequency and severity bands, each max 20 categories, based on ZIP code or census tract where vehicle is garaged</t>
        </is>
      </c>
      <c r="D20" s="41" t="inlineStr">
        <is>
          <t>10 CCR 2632.5(d)(14)-(15)</t>
        </is>
      </c>
      <c r="E20" s="41" t="inlineStr">
        <is>
          <t>10 CCR section 2632.5 - Rating Factors (text via Cornell LII)</t>
        </is>
      </c>
      <c r="F20" s="42" t="inlineStr">
        <is>
          <t>https://www.law.cornell.edu/regulations/california/10-CCR-2632.5</t>
        </is>
      </c>
      <c r="G20" s="43" t="n">
        <v>46295</v>
      </c>
      <c r="H20" s="41" t="inlineStr">
        <is>
          <t>California</t>
        </is>
      </c>
      <c r="I20" s="41" t="inlineStr">
        <is>
          <t>Statute / regulation text</t>
        </is>
      </c>
      <c r="J20" s="44" t="inlineStr">
        <is>
          <t>Primary source</t>
        </is>
      </c>
      <c r="K20" s="43" t="n">
        <v>46295</v>
      </c>
      <c r="L20" s="41" t="n"/>
    </row>
    <row r="21" ht="23.85" customHeight="1" s="29">
      <c r="A21" s="41" t="inlineStr">
        <is>
          <t>Rating factors</t>
        </is>
      </c>
      <c r="B21" s="41" t="inlineStr">
        <is>
          <t>Credit history, gender, age</t>
        </is>
      </c>
      <c r="C21" s="41" t="inlineStr">
        <is>
          <t>Not on the mandatory or optional lists</t>
        </is>
      </c>
      <c r="D21" s="41" t="inlineStr">
        <is>
          <t>10 CCR 2632.5</t>
        </is>
      </c>
      <c r="E21" s="41" t="inlineStr">
        <is>
          <t>10 CCR section 2632.5 - Rating Factors (text via Cornell LII)</t>
        </is>
      </c>
      <c r="F21" s="42" t="inlineStr">
        <is>
          <t>https://www.law.cornell.edu/regulations/california/10-CCR-2632.5</t>
        </is>
      </c>
      <c r="G21" s="43" t="n">
        <v>46295</v>
      </c>
      <c r="H21" s="41" t="inlineStr">
        <is>
          <t>California</t>
        </is>
      </c>
      <c r="I21" s="41" t="inlineStr">
        <is>
          <t>Statute / regulation text</t>
        </is>
      </c>
      <c r="J21" s="44" t="inlineStr">
        <is>
          <t>Primary source</t>
        </is>
      </c>
      <c r="K21" s="43" t="n">
        <v>46295</v>
      </c>
      <c r="L21" s="41" t="inlineStr">
        <is>
          <t>Derived from the regulation text: age matters only via years licensed. Confirm with counsel before publishing as a legal statement.</t>
        </is>
      </c>
    </row>
    <row r="22" ht="35.05" customHeight="1" s="29">
      <c r="A22" s="41" t="inlineStr">
        <is>
          <t>Rating factors</t>
        </is>
      </c>
      <c r="B22" s="41" t="inlineStr">
        <is>
          <t>Driving record verification</t>
        </is>
      </c>
      <c r="C22" s="41" t="inlineStr">
        <is>
          <t>Insurer must verify the motor vehicle report at application and at least every 36 months; DUI convictions treated as highest surchargeable violation</t>
        </is>
      </c>
      <c r="D22" s="41" t="inlineStr">
        <is>
          <t>10 CCR 2632.5(c)(1)</t>
        </is>
      </c>
      <c r="E22" s="41" t="inlineStr">
        <is>
          <t>10 CCR section 2632.5 - Rating Factors (text via Cornell LII)</t>
        </is>
      </c>
      <c r="F22" s="42" t="inlineStr">
        <is>
          <t>https://www.law.cornell.edu/regulations/california/10-CCR-2632.5</t>
        </is>
      </c>
      <c r="G22" s="43" t="n">
        <v>46295</v>
      </c>
      <c r="H22" s="41" t="inlineStr">
        <is>
          <t>California</t>
        </is>
      </c>
      <c r="I22" s="41" t="inlineStr">
        <is>
          <t>Statute / regulation text</t>
        </is>
      </c>
      <c r="J22" s="44" t="inlineStr">
        <is>
          <t>Primary source</t>
        </is>
      </c>
      <c r="K22" s="43" t="n">
        <v>46295</v>
      </c>
      <c r="L22" s="41" t="n"/>
    </row>
    <row r="23" ht="35.05" customHeight="1" s="29">
      <c r="A23" s="41" t="inlineStr">
        <is>
          <t>Mileage and telematics</t>
        </is>
      </c>
      <c r="B23" s="41" t="inlineStr">
        <is>
          <t>How mileage is set</t>
        </is>
      </c>
      <c r="C23" s="41" t="inlineStr">
        <is>
          <t>Estimated annual miles, with insurer allowed to request supporting information; verified-actual-mileage programs also allowed</t>
        </is>
      </c>
      <c r="D23" s="41" t="inlineStr">
        <is>
          <t>10 CCR 2632.5(c)(2)</t>
        </is>
      </c>
      <c r="E23" s="41" t="inlineStr">
        <is>
          <t>10 CCR section 2632.5 - Rating Factors (text via Cornell LII)</t>
        </is>
      </c>
      <c r="F23" s="42" t="inlineStr">
        <is>
          <t>https://www.law.cornell.edu/regulations/california/10-CCR-2632.5</t>
        </is>
      </c>
      <c r="G23" s="43" t="n">
        <v>46295</v>
      </c>
      <c r="H23" s="41" t="inlineStr">
        <is>
          <t>California</t>
        </is>
      </c>
      <c r="I23" s="41" t="inlineStr">
        <is>
          <t>Statute / regulation text</t>
        </is>
      </c>
      <c r="J23" s="44" t="inlineStr">
        <is>
          <t>Primary source</t>
        </is>
      </c>
      <c r="K23" s="43" t="n">
        <v>46295</v>
      </c>
      <c r="L23" s="41" t="n"/>
    </row>
    <row r="24" ht="35.05" customHeight="1" s="29">
      <c r="A24" s="41" t="inlineStr">
        <is>
          <t>Mileage and telematics</t>
        </is>
      </c>
      <c r="B24" s="41" t="inlineStr">
        <is>
          <t>Device restrictions</t>
        </is>
      </c>
      <c r="C24" s="41" t="inlineStr">
        <is>
          <t>Insurer may use a device only to collect actual miles driven and may not collect or store vehicle location (exceptions for roadside, theft, map, travel services)</t>
        </is>
      </c>
      <c r="D24" s="41" t="inlineStr">
        <is>
          <t>10 CCR 2632.5(c)(2)(F)(i)5</t>
        </is>
      </c>
      <c r="E24" s="41" t="inlineStr">
        <is>
          <t>10 CCR section 2632.5 - Rating Factors (text via Cornell LII)</t>
        </is>
      </c>
      <c r="F24" s="42" t="inlineStr">
        <is>
          <t>https://www.law.cornell.edu/regulations/california/10-CCR-2632.5</t>
        </is>
      </c>
      <c r="G24" s="43" t="n">
        <v>46295</v>
      </c>
      <c r="H24" s="41" t="inlineStr">
        <is>
          <t>California</t>
        </is>
      </c>
      <c r="I24" s="41" t="inlineStr">
        <is>
          <t>Statute / regulation text</t>
        </is>
      </c>
      <c r="J24" s="44" t="inlineStr">
        <is>
          <t>Primary source</t>
        </is>
      </c>
      <c r="K24" s="43" t="n">
        <v>46295</v>
      </c>
      <c r="L24" s="41" t="inlineStr">
        <is>
          <t>This may explain why behavior-based programs like Snapshot and Drivewise are not offered in CA. That link is my inference.</t>
        </is>
      </c>
    </row>
    <row r="25" ht="23.85" customHeight="1" s="29">
      <c r="A25" s="41" t="inlineStr">
        <is>
          <t>Discounts</t>
        </is>
      </c>
      <c r="B25" s="41" t="inlineStr">
        <is>
          <t>Good driver discount</t>
        </is>
      </c>
      <c r="C25" s="41" t="inlineStr">
        <is>
          <t>Rate at least 20% lower than a comparable non-good driver</t>
        </is>
      </c>
      <c r="D25" s="41" t="inlineStr">
        <is>
          <t>Ins. Code 1861.02; 10 CCR 2632.12; CDI Form 101</t>
        </is>
      </c>
      <c r="E25" s="41" t="inlineStr">
        <is>
          <t>10 CCR section 2632.12 - Good Driver Discount (text via Cornell LII)</t>
        </is>
      </c>
      <c r="F25" s="42" t="inlineStr">
        <is>
          <t>https://www.law.cornell.edu/regulations/california/10-CCR-2632.12</t>
        </is>
      </c>
      <c r="G25" s="43" t="n">
        <v>46295</v>
      </c>
      <c r="H25" s="41" t="inlineStr">
        <is>
          <t>California</t>
        </is>
      </c>
      <c r="I25" s="41" t="inlineStr">
        <is>
          <t>Statute / regulation text</t>
        </is>
      </c>
      <c r="J25" s="44" t="inlineStr">
        <is>
          <t>Primary source</t>
        </is>
      </c>
      <c r="K25" s="43" t="n">
        <v>46295</v>
      </c>
      <c r="L25" s="41" t="inlineStr">
        <is>
          <t>See statute row below for eligibility.</t>
        </is>
      </c>
    </row>
    <row r="26" ht="68.65000000000001" customHeight="1" s="29">
      <c r="A26" s="41" t="inlineStr">
        <is>
          <t>Discounts</t>
        </is>
      </c>
      <c r="B26" s="41" t="inlineStr">
        <is>
          <t>Good driver eligibility (statute)</t>
        </is>
      </c>
      <c r="C26" s="41" t="inlineStr">
        <is>
          <t>Licensed for the previous three years, and in that period: no more than one violation point (an at-fault property-damage accident counts as one point), no more than one non-confidential dismissal that would have carried more than one point, and not principally at fault in an accident causing injury or death</t>
        </is>
      </c>
      <c r="D26" s="41" t="inlineStr">
        <is>
          <t>Ins. Code 1861.025(a)-(b)</t>
        </is>
      </c>
      <c r="E26" s="41" t="inlineStr">
        <is>
          <t>CA Insurance Code section 1861.025 - Good Driver Discount eligibility (Justia)</t>
        </is>
      </c>
      <c r="F26" s="42" t="inlineStr">
        <is>
          <t>https://law.justia.com/codes/california/code-ins/division-1/part-2/chapter-9/article-10/section-1861-025/</t>
        </is>
      </c>
      <c r="G26" s="43" t="n">
        <v>46295</v>
      </c>
      <c r="H26" s="41" t="inlineStr">
        <is>
          <t>California</t>
        </is>
      </c>
      <c r="I26" s="41" t="inlineStr">
        <is>
          <t>Statute / regulation text</t>
        </is>
      </c>
      <c r="J26" s="44" t="inlineStr">
        <is>
          <t>Primary source</t>
        </is>
      </c>
      <c r="K26" s="43" t="n">
        <v>46295</v>
      </c>
      <c r="L26" s="41" t="inlineStr">
        <is>
          <t>CDI's consumer page mentions only the point limit. Further criteria in later subdivisions were not visible in the text I read; have counsel confirm before publishing eligibility rules.</t>
        </is>
      </c>
    </row>
    <row r="27" ht="23.85" customHeight="1" s="29">
      <c r="A27" s="41" t="inlineStr">
        <is>
          <t>Discounts</t>
        </is>
      </c>
      <c r="B27" s="41" t="inlineStr">
        <is>
          <t>Six-month vs annual policy</t>
        </is>
      </c>
      <c r="C27" s="41" t="inlineStr">
        <is>
          <t>Six-month premium must be one-half of the annual premium; no paid-in-full discount</t>
        </is>
      </c>
      <c r="D27" s="41" t="inlineStr">
        <is>
          <t>CDI Advisory Notice 2005-02</t>
        </is>
      </c>
      <c r="E27" s="41" t="inlineStr">
        <is>
          <t>CDI Rate Regulation Advisory Notice 2005-02 (May 2, 2005)</t>
        </is>
      </c>
      <c r="F27" s="42" t="inlineStr">
        <is>
          <t>https://www.insurance.ca.gov/0250-insurers/0300-insurers/0200-bulletins/bulletin-notices-commiss-opinion/upload/Advisory-Notice-2005-02.pdf</t>
        </is>
      </c>
      <c r="G27" s="43" t="n">
        <v>46295</v>
      </c>
      <c r="H27" s="41" t="inlineStr">
        <is>
          <t>California</t>
        </is>
      </c>
      <c r="I27" s="41" t="inlineStr">
        <is>
          <t>Regulator-published</t>
        </is>
      </c>
      <c r="J27" s="44" t="inlineStr">
        <is>
          <t>Primary source</t>
        </is>
      </c>
      <c r="K27" s="43" t="n">
        <v>46295</v>
      </c>
      <c r="L27" s="41" t="inlineStr">
        <is>
          <t>Dated May 2, 2005; confirm not superseded. Matters for your policy-term comparison feature.</t>
        </is>
      </c>
    </row>
    <row r="28" ht="23.85" customHeight="1" s="29">
      <c r="A28" s="41" t="inlineStr">
        <is>
          <t>Discounts</t>
        </is>
      </c>
      <c r="B28" s="41" t="inlineStr">
        <is>
          <t>Mature driver (55+) with DMV-approved course</t>
        </is>
      </c>
      <c r="C28" s="41" t="inlineStr">
        <is>
          <t>Every admitted insurer must provide a reduction; insurer sets the percentage</t>
        </is>
      </c>
      <c r="D28" s="41" t="inlineStr">
        <is>
          <t>Ins. Code 11628.3; 13 CCR 346.00</t>
        </is>
      </c>
      <c r="E28" s="41" t="inlineStr">
        <is>
          <t>CA Insurance Code section 11628.3 - Mature driver (text via FindLaw)</t>
        </is>
      </c>
      <c r="F28" s="42" t="inlineStr">
        <is>
          <t>https://codes.findlaw.com/ca/insurance-code/ins-sect-11628-3/</t>
        </is>
      </c>
      <c r="G28" s="43" t="n">
        <v>46295</v>
      </c>
      <c r="H28" s="41" t="inlineStr">
        <is>
          <t>California</t>
        </is>
      </c>
      <c r="I28" s="41" t="inlineStr">
        <is>
          <t>Statute / regulation text</t>
        </is>
      </c>
      <c r="J28" s="44" t="inlineStr">
        <is>
          <t>Primary source</t>
        </is>
      </c>
      <c r="K28" s="43" t="n">
        <v>46295</v>
      </c>
      <c r="L28" s="41" t="inlineStr">
        <is>
          <t>FindLaw may lag the latest law.</t>
        </is>
      </c>
    </row>
    <row r="29" ht="23.85" customHeight="1" s="29">
      <c r="A29" s="41" t="inlineStr">
        <is>
          <t>Programs</t>
        </is>
      </c>
      <c r="B29" s="41" t="inlineStr">
        <is>
          <t>Low Cost Auto (CLCA)</t>
        </is>
      </c>
      <c r="C29" s="41" t="inlineStr">
        <is>
          <t>Limits 10/20/3; income at or below 250% of federal poverty level; vehicle worth $25,000 or less; age 16+</t>
        </is>
      </c>
      <c r="D29" s="41" t="inlineStr">
        <is>
          <t>CDI Form 101</t>
        </is>
      </c>
      <c r="E29" s="41" t="inlineStr">
        <is>
          <t>CA Dept of Insurance - Introduction to Auto Insurance (Form 101, rev. Feb 5, 2025)</t>
        </is>
      </c>
      <c r="F29" s="42" t="inlineStr">
        <is>
          <t>https://www.insurance.ca.gov/01-consumers/105-type/95-guides/01-auto/auto101.cfm</t>
        </is>
      </c>
      <c r="G29" s="43" t="n">
        <v>46295</v>
      </c>
      <c r="H29" s="41" t="inlineStr">
        <is>
          <t>California</t>
        </is>
      </c>
      <c r="I29" s="41" t="inlineStr">
        <is>
          <t>Regulator-published</t>
        </is>
      </c>
      <c r="J29" s="44" t="inlineStr">
        <is>
          <t>Primary source</t>
        </is>
      </c>
      <c r="K29" s="43" t="n">
        <v>46295</v>
      </c>
      <c r="L29" s="41" t="inlineStr">
        <is>
          <t>CLCA limits unchanged by SB 1107 (CDI alert).</t>
        </is>
      </c>
    </row>
    <row r="30" ht="23.85" customHeight="1" s="29">
      <c r="A30" s="41" t="inlineStr">
        <is>
          <t>Programs</t>
        </is>
      </c>
      <c r="B30" s="41" t="inlineStr">
        <is>
          <t>High-risk drivers (CAARP)</t>
        </is>
      </c>
      <c r="C30" s="41" t="inlineStr">
        <is>
          <t>Assigned to an insurer; all licensed insurers must accept; same premiums across companies</t>
        </is>
      </c>
      <c r="D30" s="41" t="inlineStr">
        <is>
          <t>CDI Form 101</t>
        </is>
      </c>
      <c r="E30" s="41" t="inlineStr">
        <is>
          <t>CA Dept of Insurance - Introduction to Auto Insurance (Form 101, rev. Feb 5, 2025)</t>
        </is>
      </c>
      <c r="F30" s="42" t="inlineStr">
        <is>
          <t>https://www.insurance.ca.gov/01-consumers/105-type/95-guides/01-auto/auto101.cfm</t>
        </is>
      </c>
      <c r="G30" s="43" t="n">
        <v>46295</v>
      </c>
      <c r="H30" s="41" t="inlineStr">
        <is>
          <t>California</t>
        </is>
      </c>
      <c r="I30" s="41" t="inlineStr">
        <is>
          <t>Regulator-published</t>
        </is>
      </c>
      <c r="J30" s="44" t="inlineStr">
        <is>
          <t>Primary source</t>
        </is>
      </c>
      <c r="K30" s="43" t="n">
        <v>46295</v>
      </c>
      <c r="L30" s="41" t="n"/>
    </row>
    <row r="31" ht="23.85" customHeight="1" s="29">
      <c r="A31" s="41" t="inlineStr">
        <is>
          <t>Agents and brokers</t>
        </is>
      </c>
      <c r="B31" s="41" t="inlineStr">
        <is>
          <t>Licensing and pay</t>
        </is>
      </c>
      <c r="C31" s="41" t="inlineStr">
        <is>
          <t>All agents and brokers must be state licensed; agents paid by insurers; brokers may charge a broker fee</t>
        </is>
      </c>
      <c r="D31" s="41" t="inlineStr">
        <is>
          <t>CDI Form 101</t>
        </is>
      </c>
      <c r="E31" s="41" t="inlineStr">
        <is>
          <t>CA Dept of Insurance - Introduction to Auto Insurance (Form 101, rev. Feb 5, 2025)</t>
        </is>
      </c>
      <c r="F31" s="42" t="inlineStr">
        <is>
          <t>https://www.insurance.ca.gov/01-consumers/105-type/95-guides/01-auto/auto101.cfm</t>
        </is>
      </c>
      <c r="G31" s="43" t="n">
        <v>46295</v>
      </c>
      <c r="H31" s="41" t="inlineStr">
        <is>
          <t>California</t>
        </is>
      </c>
      <c r="I31" s="41" t="inlineStr">
        <is>
          <t>Regulator-published</t>
        </is>
      </c>
      <c r="J31" s="44" t="inlineStr">
        <is>
          <t>Primary source</t>
        </is>
      </c>
      <c r="K31" s="43" t="n">
        <v>46295</v>
      </c>
      <c r="L31" s="41" t="inlineStr">
        <is>
          <t>Relevant to your referral and lead-generation model.</t>
        </is>
      </c>
    </row>
    <row r="32" ht="23.85" customHeight="1" s="29">
      <c r="A32" s="41" t="inlineStr">
        <is>
          <t>Quotes</t>
        </is>
      </c>
      <c r="B32" s="41" t="inlineStr">
        <is>
          <t>What CDI calls a quote</t>
        </is>
      </c>
      <c r="C32" s="41" t="inlineStr">
        <is>
          <t>An estimate of premium; get quotes in writing and compare</t>
        </is>
      </c>
      <c r="D32" s="41" t="inlineStr">
        <is>
          <t>CDI Form 101</t>
        </is>
      </c>
      <c r="E32" s="41" t="inlineStr">
        <is>
          <t>CA Dept of Insurance - Introduction to Auto Insurance (Form 101, rev. Feb 5, 2025)</t>
        </is>
      </c>
      <c r="F32" s="42" t="inlineStr">
        <is>
          <t>https://www.insurance.ca.gov/01-consumers/105-type/95-guides/01-auto/auto101.cfm</t>
        </is>
      </c>
      <c r="G32" s="43" t="n">
        <v>46295</v>
      </c>
      <c r="H32" s="41" t="inlineStr">
        <is>
          <t>California</t>
        </is>
      </c>
      <c r="I32" s="41" t="inlineStr">
        <is>
          <t>Regulator-published</t>
        </is>
      </c>
      <c r="J32" s="44" t="inlineStr">
        <is>
          <t>Primary source</t>
        </is>
      </c>
      <c r="K32" s="43" t="n">
        <v>46295</v>
      </c>
      <c r="L32" s="41" t="inlineStr">
        <is>
          <t>Supports your 'estimate vs actual quote' labels.</t>
        </is>
      </c>
    </row>
  </sheetData>
  <autoFilter ref="A1:L32"/>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www.dmv.ca.gov/portal/vehicle-registration/insurance-requirements/" r:id="rId1"/>
    <hyperlink xmlns:r="http://schemas.openxmlformats.org/officeDocument/2006/relationships" ref="F3" display="https://www.dmv.ca.gov/portal/vehicle-registration/insurance-requirements/" r:id="rId2"/>
    <hyperlink xmlns:r="http://schemas.openxmlformats.org/officeDocument/2006/relationships" ref="F4" display="https://www.dmv.ca.gov/portal/vehicle-registration/insurance-requirements/" r:id="rId3"/>
    <hyperlink xmlns:r="http://schemas.openxmlformats.org/officeDocument/2006/relationships" ref="F5" display="https://www.insurance.ca.gov/0400-news/0102-alerts/2024/California-s-Low-Cost-Auto-Insurance.cfm" r:id="rId4"/>
    <hyperlink xmlns:r="http://schemas.openxmlformats.org/officeDocument/2006/relationships" ref="F6" display="https://www.carinsurance.com/Articles/minimum-liability-car-insurance-requirements-by-state.aspx" r:id="rId5"/>
    <hyperlink xmlns:r="http://schemas.openxmlformats.org/officeDocument/2006/relationships" ref="F7" display="https://leginfo.legislature.ca.gov/faces/billNavClient.xhtml?bill_id=202120220SB1107" r:id="rId6"/>
    <hyperlink xmlns:r="http://schemas.openxmlformats.org/officeDocument/2006/relationships" ref="F8" display="https://www.dmv.ca.gov/portal/vehicle-registration/insurance-requirements/" r:id="rId7"/>
    <hyperlink xmlns:r="http://schemas.openxmlformats.org/officeDocument/2006/relationships" ref="F9" display="https://www.dmv.ca.gov/portal/vehicle-registration/insurance-requirements/" r:id="rId8"/>
    <hyperlink xmlns:r="http://schemas.openxmlformats.org/officeDocument/2006/relationships" ref="F10" display="https://www.dmv.ca.gov/portal/vehicle-registration/insurance-requirements/" r:id="rId9"/>
    <hyperlink xmlns:r="http://schemas.openxmlformats.org/officeDocument/2006/relationships" ref="F11" display="https://www.dmv.ca.gov/portal/vehicle-registration/insurance-requirements/" r:id="rId10"/>
    <hyperlink xmlns:r="http://schemas.openxmlformats.org/officeDocument/2006/relationships" ref="F12" display="https://www.insurance.ca.gov/01-consumers/105-type/95-guides/01-auto/auto101.cfm" r:id="rId11"/>
    <hyperlink xmlns:r="http://schemas.openxmlformats.org/officeDocument/2006/relationships" ref="F13" display="https://www.insurance.ca.gov/01-consumers/105-type/95-guides/01-auto/auto101.cfm" r:id="rId12"/>
    <hyperlink xmlns:r="http://schemas.openxmlformats.org/officeDocument/2006/relationships" ref="F14" display="https://www.insurance.ca.gov/01-consumers/105-type/95-guides/01-auto/auto101.cfm" r:id="rId13"/>
    <hyperlink xmlns:r="http://schemas.openxmlformats.org/officeDocument/2006/relationships" ref="F15" display="https://www.insurance.ca.gov/01-consumers/105-type/95-guides/01-auto/auto101.cfm" r:id="rId14"/>
    <hyperlink xmlns:r="http://schemas.openxmlformats.org/officeDocument/2006/relationships" ref="F16" display="https://www.insurance.ca.gov/01-consumers/105-type/95-guides/01-auto/auto101.cfm" r:id="rId15"/>
    <hyperlink xmlns:r="http://schemas.openxmlformats.org/officeDocument/2006/relationships" ref="F17" display="https://www.insurance.ca.gov/01-consumers/105-type/95-guides/01-auto/auto101.cfm" r:id="rId16"/>
    <hyperlink xmlns:r="http://schemas.openxmlformats.org/officeDocument/2006/relationships" ref="F18" display="https://www.law.cornell.edu/regulations/california/10-CCR-2632.5" r:id="rId17"/>
    <hyperlink xmlns:r="http://schemas.openxmlformats.org/officeDocument/2006/relationships" ref="F19" display="https://www.law.cornell.edu/regulations/california/10-CCR-2632.5" r:id="rId18"/>
    <hyperlink xmlns:r="http://schemas.openxmlformats.org/officeDocument/2006/relationships" ref="F20" display="https://www.law.cornell.edu/regulations/california/10-CCR-2632.5" r:id="rId19"/>
    <hyperlink xmlns:r="http://schemas.openxmlformats.org/officeDocument/2006/relationships" ref="F21" display="https://www.law.cornell.edu/regulations/california/10-CCR-2632.5" r:id="rId20"/>
    <hyperlink xmlns:r="http://schemas.openxmlformats.org/officeDocument/2006/relationships" ref="F22" display="https://www.law.cornell.edu/regulations/california/10-CCR-2632.5" r:id="rId21"/>
    <hyperlink xmlns:r="http://schemas.openxmlformats.org/officeDocument/2006/relationships" ref="F23" display="https://www.law.cornell.edu/regulations/california/10-CCR-2632.5" r:id="rId22"/>
    <hyperlink xmlns:r="http://schemas.openxmlformats.org/officeDocument/2006/relationships" ref="F24" display="https://www.law.cornell.edu/regulations/california/10-CCR-2632.5" r:id="rId23"/>
    <hyperlink xmlns:r="http://schemas.openxmlformats.org/officeDocument/2006/relationships" ref="F25" display="https://www.law.cornell.edu/regulations/california/10-CCR-2632.12" r:id="rId24"/>
    <hyperlink xmlns:r="http://schemas.openxmlformats.org/officeDocument/2006/relationships" ref="F26" display="https://law.justia.com/codes/california/code-ins/division-1/part-2/chapter-9/article-10/section-1861-025/" r:id="rId25"/>
    <hyperlink xmlns:r="http://schemas.openxmlformats.org/officeDocument/2006/relationships" ref="F27" display="https://www.insurance.ca.gov/0250-insurers/0300-insurers/0200-bulletins/bulletin-notices-commiss-opinion/upload/Advisory-Notice-2005-02.pdf" r:id="rId26"/>
    <hyperlink xmlns:r="http://schemas.openxmlformats.org/officeDocument/2006/relationships" ref="F28" display="https://codes.findlaw.com/ca/insurance-code/ins-sect-11628-3/" r:id="rId27"/>
    <hyperlink xmlns:r="http://schemas.openxmlformats.org/officeDocument/2006/relationships" ref="F29" display="https://www.insurance.ca.gov/01-consumers/105-type/95-guides/01-auto/auto101.cfm" r:id="rId28"/>
    <hyperlink xmlns:r="http://schemas.openxmlformats.org/officeDocument/2006/relationships" ref="F30" display="https://www.insurance.ca.gov/01-consumers/105-type/95-guides/01-auto/auto101.cfm" r:id="rId29"/>
    <hyperlink xmlns:r="http://schemas.openxmlformats.org/officeDocument/2006/relationships" ref="F31" display="https://www.insurance.ca.gov/01-consumers/105-type/95-guides/01-auto/auto101.cfm" r:id="rId30"/>
    <hyperlink xmlns:r="http://schemas.openxmlformats.org/officeDocument/2006/relationships" ref="F32" display="https://www.insurance.ca.gov/01-consumers/105-type/95-guides/01-auto/auto101.cfm" r:id="rId3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4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8" min="1" max="1"/>
    <col width="34" customWidth="1" style="28" min="2" max="2"/>
    <col width="60" customWidth="1" style="28" min="3" max="3"/>
    <col width="36" customWidth="1" style="28" min="4" max="4"/>
    <col width="42" customWidth="1" style="28" min="5" max="5"/>
    <col width="52" customWidth="1" style="28" min="6" max="6"/>
    <col width="12" customWidth="1" style="28" min="7" max="7"/>
    <col width="20" customWidth="1" style="28" min="8" max="8"/>
    <col width="24" customWidth="1" style="28" min="9" max="9"/>
    <col width="18" customWidth="1" style="28" min="10" max="10"/>
    <col width="12" customWidth="1" style="28" min="11" max="11"/>
    <col width="58" customWidth="1" style="28" min="12" max="12"/>
  </cols>
  <sheetData>
    <row r="1" ht="31.5" customHeight="1" s="29">
      <c r="A1" s="40" t="inlineStr">
        <is>
          <t>Topic</t>
        </is>
      </c>
      <c r="B1" s="40" t="inlineStr">
        <is>
          <t>Fact</t>
        </is>
      </c>
      <c r="C1" s="40" t="inlineStr">
        <is>
          <t>Value</t>
        </is>
      </c>
      <c r="D1" s="40" t="inlineStr">
        <is>
          <t>Legal Citation</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23.85" customHeight="1" s="29">
      <c r="A2" s="41" t="inlineStr">
        <is>
          <t>Requirement</t>
        </is>
      </c>
      <c r="B2" s="41" t="inlineStr">
        <is>
          <t>Is homeowners insurance required?</t>
        </is>
      </c>
      <c r="C2" s="41" t="inlineStr">
        <is>
          <t>No. Lenders require enough coverage; lenders require flood insurance in federally mapped high-risk flood zones</t>
        </is>
      </c>
      <c r="D2" s="41" t="inlineStr">
        <is>
          <t>CDI Homeowners flyer (Dec 2024)</t>
        </is>
      </c>
      <c r="E2" s="41" t="inlineStr">
        <is>
          <t>CA Dept of Insurance - Homeowners Insurance flyer (Dec 2024)</t>
        </is>
      </c>
      <c r="F2" s="42" t="inlineStr">
        <is>
          <t>https://www.insurance.ca.gov/01-consumers/105-type/95-guides/upload/Homeowners-Insurance-Updated-121924.pdf</t>
        </is>
      </c>
      <c r="G2" s="43" t="n">
        <v>46295</v>
      </c>
      <c r="H2" s="41" t="inlineStr">
        <is>
          <t>California</t>
        </is>
      </c>
      <c r="I2" s="41" t="inlineStr">
        <is>
          <t>Regulator-published</t>
        </is>
      </c>
      <c r="J2" s="44" t="inlineStr">
        <is>
          <t>Primary source</t>
        </is>
      </c>
      <c r="K2" s="43" t="n">
        <v>46295</v>
      </c>
      <c r="L2" s="41" t="n"/>
    </row>
    <row r="3" ht="35.05" customHeight="1" s="29">
      <c r="A3" s="41" t="inlineStr">
        <is>
          <t>Coverage</t>
        </is>
      </c>
      <c r="B3" s="41" t="inlineStr">
        <is>
          <t>Coverage A - Dwelling</t>
        </is>
      </c>
      <c r="C3" s="41" t="inlineStr">
        <is>
          <t>Protects the house and attached structures from covered perils</t>
        </is>
      </c>
      <c r="D3" s="41" t="inlineStr">
        <is>
          <t>CDI Form 401</t>
        </is>
      </c>
      <c r="E3" s="41" t="inlineStr">
        <is>
          <t>CA Dept of Insurance - Residential Insurance: Homeowners and Renters (Form 401, rev. Jan 2026)</t>
        </is>
      </c>
      <c r="F3" s="42" t="inlineStr">
        <is>
          <t>https://www.insurance.ca.gov/01-consumers/105-type/95-guides/03-res/res-ins-guide.cfm</t>
        </is>
      </c>
      <c r="G3" s="43" t="n">
        <v>46295</v>
      </c>
      <c r="H3" s="41" t="inlineStr">
        <is>
          <t>California</t>
        </is>
      </c>
      <c r="I3" s="41" t="inlineStr">
        <is>
          <t>Regulator-published</t>
        </is>
      </c>
      <c r="J3" s="44" t="inlineStr">
        <is>
          <t>Primary source</t>
        </is>
      </c>
      <c r="K3" s="43" t="n">
        <v>46295</v>
      </c>
      <c r="L3" s="41" t="n"/>
    </row>
    <row r="4" ht="35.05" customHeight="1" s="29">
      <c r="A4" s="41" t="inlineStr">
        <is>
          <t>Coverage</t>
        </is>
      </c>
      <c r="B4" s="41" t="inlineStr">
        <is>
          <t>Coverage B - Other structures</t>
        </is>
      </c>
      <c r="C4" s="41" t="inlineStr">
        <is>
          <t>Normally limited to 10% of Coverage A; more available for extra premium</t>
        </is>
      </c>
      <c r="D4" s="41" t="inlineStr">
        <is>
          <t>CDI Form 401</t>
        </is>
      </c>
      <c r="E4" s="41" t="inlineStr">
        <is>
          <t>CA Dept of Insurance - Residential Insurance: Homeowners and Renters (Form 401, rev. Jan 2026)</t>
        </is>
      </c>
      <c r="F4" s="42" t="inlineStr">
        <is>
          <t>https://www.insurance.ca.gov/01-consumers/105-type/95-guides/03-res/res-ins-guide.cfm</t>
        </is>
      </c>
      <c r="G4" s="43" t="n">
        <v>46295</v>
      </c>
      <c r="H4" s="41" t="inlineStr">
        <is>
          <t>California</t>
        </is>
      </c>
      <c r="I4" s="41" t="inlineStr">
        <is>
          <t>Regulator-published</t>
        </is>
      </c>
      <c r="J4" s="44" t="inlineStr">
        <is>
          <t>Primary source</t>
        </is>
      </c>
      <c r="K4" s="43" t="n">
        <v>46295</v>
      </c>
      <c r="L4" s="41" t="n"/>
    </row>
    <row r="5" ht="35.05" customHeight="1" s="29">
      <c r="A5" s="41" t="inlineStr">
        <is>
          <t>Coverage</t>
        </is>
      </c>
      <c r="B5" s="41" t="inlineStr">
        <is>
          <t>Coverage C - Personal property</t>
        </is>
      </c>
      <c r="C5" s="41" t="inlineStr">
        <is>
          <t>Contents limit generally about 50% of dwelling (a guideline only); special limits on jewelry, antiques, furs, collectibles, fine art, firearms, silverware, money</t>
        </is>
      </c>
      <c r="D5" s="41" t="inlineStr">
        <is>
          <t>CDI Form 401</t>
        </is>
      </c>
      <c r="E5" s="41" t="inlineStr">
        <is>
          <t>CA Dept of Insurance - Residential Insurance: Homeowners and Renters (Form 401, rev. Jan 2026)</t>
        </is>
      </c>
      <c r="F5" s="42" t="inlineStr">
        <is>
          <t>https://www.insurance.ca.gov/01-consumers/105-type/95-guides/03-res/res-ins-guide.cfm</t>
        </is>
      </c>
      <c r="G5" s="43" t="n">
        <v>46295</v>
      </c>
      <c r="H5" s="41" t="inlineStr">
        <is>
          <t>California</t>
        </is>
      </c>
      <c r="I5" s="41" t="inlineStr">
        <is>
          <t>Regulator-published</t>
        </is>
      </c>
      <c r="J5" s="44" t="inlineStr">
        <is>
          <t>Primary source</t>
        </is>
      </c>
      <c r="K5" s="43" t="n">
        <v>46295</v>
      </c>
      <c r="L5" s="41" t="inlineStr">
        <is>
          <t>Special limits sit inside the overall contents limit, not on top of it; scheduling items separately is the fix.</t>
        </is>
      </c>
    </row>
    <row r="6" ht="35.05" customHeight="1" s="29">
      <c r="A6" s="41" t="inlineStr">
        <is>
          <t>Coverage</t>
        </is>
      </c>
      <c r="B6" s="41" t="inlineStr">
        <is>
          <t>Coverage D - Loss of use</t>
        </is>
      </c>
      <c r="C6" s="41" t="inlineStr">
        <is>
          <t>Normally limited to 20% of Coverage A (renters: 20% of C; condo: 40% of C)</t>
        </is>
      </c>
      <c r="D6" s="41" t="inlineStr">
        <is>
          <t>CDI Form 401</t>
        </is>
      </c>
      <c r="E6" s="41" t="inlineStr">
        <is>
          <t>CA Dept of Insurance - Residential Insurance: Homeowners and Renters (Form 401, rev. Jan 2026)</t>
        </is>
      </c>
      <c r="F6" s="42" t="inlineStr">
        <is>
          <t>https://www.insurance.ca.gov/01-consumers/105-type/95-guides/03-res/res-ins-guide.cfm</t>
        </is>
      </c>
      <c r="G6" s="43" t="n">
        <v>46295</v>
      </c>
      <c r="H6" s="41" t="inlineStr">
        <is>
          <t>California</t>
        </is>
      </c>
      <c r="I6" s="41" t="inlineStr">
        <is>
          <t>Regulator-published</t>
        </is>
      </c>
      <c r="J6" s="44" t="inlineStr">
        <is>
          <t>Primary source</t>
        </is>
      </c>
      <c r="K6" s="43" t="n">
        <v>46295</v>
      </c>
      <c r="L6" s="41" t="n"/>
    </row>
    <row r="7" ht="35.05" customHeight="1" s="29">
      <c r="A7" s="41" t="inlineStr">
        <is>
          <t>Coverage</t>
        </is>
      </c>
      <c r="B7" s="41" t="inlineStr">
        <is>
          <t>Coverage E and F</t>
        </is>
      </c>
      <c r="C7" s="41" t="inlineStr">
        <is>
          <t>E: personal liability. F: medical payments to others (not for household members)</t>
        </is>
      </c>
      <c r="D7" s="41" t="inlineStr">
        <is>
          <t>CDI Form 401</t>
        </is>
      </c>
      <c r="E7" s="41" t="inlineStr">
        <is>
          <t>CA Dept of Insurance - Residential Insurance: Homeowners and Renters (Form 401, rev. Jan 2026)</t>
        </is>
      </c>
      <c r="F7" s="42" t="inlineStr">
        <is>
          <t>https://www.insurance.ca.gov/01-consumers/105-type/95-guides/03-res/res-ins-guide.cfm</t>
        </is>
      </c>
      <c r="G7" s="43" t="n">
        <v>46295</v>
      </c>
      <c r="H7" s="41" t="inlineStr">
        <is>
          <t>California</t>
        </is>
      </c>
      <c r="I7" s="41" t="inlineStr">
        <is>
          <t>Regulator-published</t>
        </is>
      </c>
      <c r="J7" s="44" t="inlineStr">
        <is>
          <t>Primary source</t>
        </is>
      </c>
      <c r="K7" s="43" t="n">
        <v>46295</v>
      </c>
      <c r="L7" s="41" t="n"/>
    </row>
    <row r="8" ht="35.05" customHeight="1" s="29">
      <c r="A8" s="41" t="inlineStr">
        <is>
          <t>Coverage</t>
        </is>
      </c>
      <c r="B8" s="41" t="inlineStr">
        <is>
          <t>Perils generally NOT covered</t>
        </is>
      </c>
      <c r="C8" s="41" t="inlineStr">
        <is>
          <t>Flood, earthquake, earth movement, termites and pests, seepage/leaks, vacancy of 60+ days, mold, wear and tear, war, neglect, nuclear hazard</t>
        </is>
      </c>
      <c r="D8" s="41" t="inlineStr">
        <is>
          <t>CDI Form 401</t>
        </is>
      </c>
      <c r="E8" s="41" t="inlineStr">
        <is>
          <t>CA Dept of Insurance - Residential Insurance: Homeowners and Renters (Form 401, rev. Jan 2026)</t>
        </is>
      </c>
      <c r="F8" s="42" t="inlineStr">
        <is>
          <t>https://www.insurance.ca.gov/01-consumers/105-type/95-guides/03-res/res-ins-guide.cfm</t>
        </is>
      </c>
      <c r="G8" s="43" t="n">
        <v>46295</v>
      </c>
      <c r="H8" s="41" t="inlineStr">
        <is>
          <t>California</t>
        </is>
      </c>
      <c r="I8" s="41" t="inlineStr">
        <is>
          <t>Regulator-published</t>
        </is>
      </c>
      <c r="J8" s="44" t="inlineStr">
        <is>
          <t>Primary source</t>
        </is>
      </c>
      <c r="K8" s="43" t="n">
        <v>46295</v>
      </c>
      <c r="L8" s="41" t="inlineStr">
        <is>
          <t>Read the actual policy exclusions.</t>
        </is>
      </c>
    </row>
    <row r="9" ht="35.05" customHeight="1" s="29">
      <c r="A9" s="41" t="inlineStr">
        <is>
          <t>Limits</t>
        </is>
      </c>
      <c r="B9" s="41" t="inlineStr">
        <is>
          <t>How to set the dwelling limit</t>
        </is>
      </c>
      <c r="C9" s="41" t="inlineStr">
        <is>
          <t>Should equal the cost to rebuild, not purchase price or market value; land is not covered</t>
        </is>
      </c>
      <c r="D9" s="41" t="inlineStr">
        <is>
          <t>CDI Form 401</t>
        </is>
      </c>
      <c r="E9" s="41" t="inlineStr">
        <is>
          <t>CA Dept of Insurance - Residential Insurance: Homeowners and Renters (Form 401, rev. Jan 2026)</t>
        </is>
      </c>
      <c r="F9" s="42" t="inlineStr">
        <is>
          <t>https://www.insurance.ca.gov/01-consumers/105-type/95-guides/03-res/res-ins-guide.cfm</t>
        </is>
      </c>
      <c r="G9" s="43" t="n">
        <v>46295</v>
      </c>
      <c r="H9" s="41" t="inlineStr">
        <is>
          <t>California</t>
        </is>
      </c>
      <c r="I9" s="41" t="inlineStr">
        <is>
          <t>Regulator-published</t>
        </is>
      </c>
      <c r="J9" s="44" t="inlineStr">
        <is>
          <t>Primary source</t>
        </is>
      </c>
      <c r="K9" s="43" t="n">
        <v>46295</v>
      </c>
      <c r="L9" s="41" t="n"/>
    </row>
    <row r="10" ht="35.05" customHeight="1" s="29">
      <c r="A10" s="41" t="inlineStr">
        <is>
          <t>Limits</t>
        </is>
      </c>
      <c r="B10" s="41" t="inlineStr">
        <is>
          <t>Replacement cost estimates</t>
        </is>
      </c>
      <c r="C10" s="41" t="inlineStr">
        <is>
          <t>If an insurer or broker gives a replacement cost estimate, a copy must be given to the applicant or insured who buys the coverage</t>
        </is>
      </c>
      <c r="D10" s="41" t="inlineStr">
        <is>
          <t>CDI Form 401</t>
        </is>
      </c>
      <c r="E10" s="41" t="inlineStr">
        <is>
          <t>CA Dept of Insurance - Residential Insurance: Homeowners and Renters (Form 401, rev. Jan 2026)</t>
        </is>
      </c>
      <c r="F10" s="42" t="inlineStr">
        <is>
          <t>https://www.insurance.ca.gov/01-consumers/105-type/95-guides/03-res/res-ins-guide.cfm</t>
        </is>
      </c>
      <c r="G10" s="43" t="n">
        <v>46295</v>
      </c>
      <c r="H10" s="41" t="inlineStr">
        <is>
          <t>California</t>
        </is>
      </c>
      <c r="I10" s="41" t="inlineStr">
        <is>
          <t>Regulator-published</t>
        </is>
      </c>
      <c r="J10" s="44" t="inlineStr">
        <is>
          <t>Primary source</t>
        </is>
      </c>
      <c r="K10" s="43" t="n">
        <v>46295</v>
      </c>
      <c r="L10" s="41" t="inlineStr">
        <is>
          <t>Relevant if your site ever shows a rebuild-cost estimate.</t>
        </is>
      </c>
    </row>
    <row r="11" ht="35.05" customHeight="1" s="29">
      <c r="A11" s="41" t="inlineStr">
        <is>
          <t>Limits</t>
        </is>
      </c>
      <c r="B11" s="41" t="inlineStr">
        <is>
          <t>'Guaranteed replacement cost' label</t>
        </is>
      </c>
      <c r="C11" s="41" t="inlineStr">
        <is>
          <t>May be used only if the policy pays to fully rebuild regardless of the limit; other forms pay the limit plus a percentage; SB 1855 renamed 'Extended' to 'Limited Replacement Cost' in disclosures</t>
        </is>
      </c>
      <c r="D11" s="41" t="inlineStr">
        <is>
          <t>CDI Form 401</t>
        </is>
      </c>
      <c r="E11" s="41" t="inlineStr">
        <is>
          <t>CA Dept of Insurance - Residential Insurance: Homeowners and Renters (Form 401, rev. Jan 2026)</t>
        </is>
      </c>
      <c r="F11" s="42" t="inlineStr">
        <is>
          <t>https://www.insurance.ca.gov/01-consumers/105-type/95-guides/03-res/res-ins-guide.cfm</t>
        </is>
      </c>
      <c r="G11" s="43" t="n">
        <v>46295</v>
      </c>
      <c r="H11" s="41" t="inlineStr">
        <is>
          <t>California</t>
        </is>
      </c>
      <c r="I11" s="41" t="inlineStr">
        <is>
          <t>Regulator-published</t>
        </is>
      </c>
      <c r="J11" s="44" t="inlineStr">
        <is>
          <t>Primary source</t>
        </is>
      </c>
      <c r="K11" s="43" t="n">
        <v>46295</v>
      </c>
      <c r="L11" s="41" t="n"/>
    </row>
    <row r="12" ht="35.05" customHeight="1" s="29">
      <c r="A12" s="41" t="inlineStr">
        <is>
          <t>Limits</t>
        </is>
      </c>
      <c r="B12" s="41" t="inlineStr">
        <is>
          <t>Building code upgrade (ordinance or law)</t>
        </is>
      </c>
      <c r="C12" s="41" t="inlineStr">
        <is>
          <t>Some policies lack it; available by endorsement</t>
        </is>
      </c>
      <c r="D12" s="41" t="inlineStr">
        <is>
          <t>CDI Form 401</t>
        </is>
      </c>
      <c r="E12" s="41" t="inlineStr">
        <is>
          <t>CA Dept of Insurance - Residential Insurance: Homeowners and Renters (Form 401, rev. Jan 2026)</t>
        </is>
      </c>
      <c r="F12" s="42" t="inlineStr">
        <is>
          <t>https://www.insurance.ca.gov/01-consumers/105-type/95-guides/03-res/res-ins-guide.cfm</t>
        </is>
      </c>
      <c r="G12" s="43" t="n">
        <v>46295</v>
      </c>
      <c r="H12" s="41" t="inlineStr">
        <is>
          <t>California</t>
        </is>
      </c>
      <c r="I12" s="41" t="inlineStr">
        <is>
          <t>Regulator-published</t>
        </is>
      </c>
      <c r="J12" s="44" t="inlineStr">
        <is>
          <t>Primary source</t>
        </is>
      </c>
      <c r="K12" s="43" t="n">
        <v>46295</v>
      </c>
      <c r="L12" s="41" t="n"/>
    </row>
    <row r="13" ht="35.05" customHeight="1" s="29">
      <c r="A13" s="41" t="inlineStr">
        <is>
          <t>Limits</t>
        </is>
      </c>
      <c r="B13" s="41" t="inlineStr">
        <is>
          <t>Actual cash value (ACV)</t>
        </is>
      </c>
      <c r="C13" s="41" t="inlineStr">
        <is>
          <t>Total loss: lesser of policy limit or fair market value. Partial loss: repair cost minus depreciation, or the limit</t>
        </is>
      </c>
      <c r="D13" s="41" t="inlineStr">
        <is>
          <t>CDI Form 401 glossary</t>
        </is>
      </c>
      <c r="E13" s="41" t="inlineStr">
        <is>
          <t>CA Dept of Insurance - Residential Insurance: Homeowners and Renters (Form 401, rev. Jan 2026)</t>
        </is>
      </c>
      <c r="F13" s="42" t="inlineStr">
        <is>
          <t>https://www.insurance.ca.gov/01-consumers/105-type/95-guides/03-res/res-ins-guide.cfm</t>
        </is>
      </c>
      <c r="G13" s="43" t="n">
        <v>46295</v>
      </c>
      <c r="H13" s="41" t="inlineStr">
        <is>
          <t>California</t>
        </is>
      </c>
      <c r="I13" s="41" t="inlineStr">
        <is>
          <t>Regulator-published</t>
        </is>
      </c>
      <c r="J13" s="44" t="inlineStr">
        <is>
          <t>Primary source</t>
        </is>
      </c>
      <c r="K13" s="43" t="n">
        <v>46295</v>
      </c>
      <c r="L13" s="41" t="n"/>
    </row>
    <row r="14" ht="35.05" customHeight="1" s="29">
      <c r="A14" s="41" t="inlineStr">
        <is>
          <t>Discounts</t>
        </is>
      </c>
      <c r="B14" s="41" t="inlineStr">
        <is>
          <t>Discounts named by CDI</t>
        </is>
      </c>
      <c r="C14" s="41" t="inlineStr">
        <is>
          <t>Burglar alarms and fire protection devices such as smoke detectors, alarms and sprinklers; higher deductible can significantly cut premium</t>
        </is>
      </c>
      <c r="D14" s="41" t="inlineStr">
        <is>
          <t>CDI Form 401</t>
        </is>
      </c>
      <c r="E14" s="41" t="inlineStr">
        <is>
          <t>CA Dept of Insurance - Residential Insurance: Homeowners and Renters (Form 401, rev. Jan 2026)</t>
        </is>
      </c>
      <c r="F14" s="42" t="inlineStr">
        <is>
          <t>https://www.insurance.ca.gov/01-consumers/105-type/95-guides/03-res/res-ins-guide.cfm</t>
        </is>
      </c>
      <c r="G14" s="43" t="n">
        <v>46295</v>
      </c>
      <c r="H14" s="41" t="inlineStr">
        <is>
          <t>California</t>
        </is>
      </c>
      <c r="I14" s="41" t="inlineStr">
        <is>
          <t>Regulator-published</t>
        </is>
      </c>
      <c r="J14" s="44" t="inlineStr">
        <is>
          <t>Primary source</t>
        </is>
      </c>
      <c r="K14" s="43" t="n">
        <v>46295</v>
      </c>
      <c r="L14" s="41" t="n"/>
    </row>
    <row r="15" ht="23.85" customHeight="1" s="29">
      <c r="A15" s="41" t="inlineStr">
        <is>
          <t>Discounts</t>
        </is>
      </c>
      <c r="B15" s="41" t="inlineStr">
        <is>
          <t>Safer from Wildfires</t>
        </is>
      </c>
      <c r="C15" s="41" t="inlineStr">
        <is>
          <t>Every action under the framework qualifies for an insurance discount (structure, surroundings, community)</t>
        </is>
      </c>
      <c r="D15" s="41" t="inlineStr">
        <is>
          <t>10 CCR 2644.9 (CDI page)</t>
        </is>
      </c>
      <c r="E15" s="41" t="inlineStr">
        <is>
          <t>CA Dept of Insurance - Safer from Wildfires</t>
        </is>
      </c>
      <c r="F15" s="42" t="inlineStr">
        <is>
          <t>https://www.insurance.ca.gov/01-consumers/200-wrr/Safer-from-Wildfires.cfm</t>
        </is>
      </c>
      <c r="G15" s="43" t="n">
        <v>46295</v>
      </c>
      <c r="H15" s="41" t="inlineStr">
        <is>
          <t>California</t>
        </is>
      </c>
      <c r="I15" s="41" t="inlineStr">
        <is>
          <t>Regulator-published</t>
        </is>
      </c>
      <c r="J15" s="44" t="inlineStr">
        <is>
          <t>Primary source</t>
        </is>
      </c>
      <c r="K15" s="43" t="n">
        <v>46295</v>
      </c>
      <c r="L15" s="41" t="inlineStr">
        <is>
          <t>Secondary sites often cite this as 'Insurance Code 2644.9'; it is a Title 10 regulation.</t>
        </is>
      </c>
    </row>
    <row r="16" ht="23.85" customHeight="1" s="29">
      <c r="A16" s="41" t="inlineStr">
        <is>
          <t>Discounts</t>
        </is>
      </c>
      <c r="B16" s="41" t="inlineStr">
        <is>
          <t>Disclosure and appeal of wildfire risk score</t>
        </is>
      </c>
      <c r="C16" s="41" t="inlineStr">
        <is>
          <t>Insurers must disclose available discounts and the policyholder's risk score, and allow an appeal</t>
        </is>
      </c>
      <c r="D16" s="41" t="inlineStr">
        <is>
          <t>10 CCR 2644.9 (per research paper)</t>
        </is>
      </c>
      <c r="E16" s="41" t="inlineStr">
        <is>
          <t>Resources for the Future - Insurance discounts for wildfire mitigation (WP 25-30)</t>
        </is>
      </c>
      <c r="F16" s="42" t="inlineStr">
        <is>
          <t>https://media.rff.org/documents/WP_25-30.pdf</t>
        </is>
      </c>
      <c r="G16" s="43" t="n">
        <v>46295</v>
      </c>
      <c r="H16" s="41" t="inlineStr">
        <is>
          <t>California</t>
        </is>
      </c>
      <c r="I16" s="41" t="inlineStr">
        <is>
          <t>Reference data (secondary source)</t>
        </is>
      </c>
      <c r="J16" s="45" t="inlineStr">
        <is>
          <t>Secondary - unverified</t>
        </is>
      </c>
      <c r="K16" s="43" t="n">
        <v>46295</v>
      </c>
      <c r="L16" s="41" t="inlineStr">
        <is>
          <t>Confirm in the regulation text.</t>
        </is>
      </c>
    </row>
    <row r="17" ht="35.05" customHeight="1" s="29">
      <c r="A17" s="41" t="inlineStr">
        <is>
          <t>Rates</t>
        </is>
      </c>
      <c r="B17" s="41" t="inlineStr">
        <is>
          <t>Who approves rates</t>
        </is>
      </c>
      <c r="C17" s="41" t="inlineStr">
        <is>
          <t>Each insurer calculates its own rates, subject to CDI approval</t>
        </is>
      </c>
      <c r="D17" s="41" t="inlineStr">
        <is>
          <t>CDI residential one-pager</t>
        </is>
      </c>
      <c r="E17" s="41" t="inlineStr">
        <is>
          <t>CA Dept of Insurance - Residential Insurance: Homeowners and Renters (Form 401, rev. Jan 2026)</t>
        </is>
      </c>
      <c r="F17" s="42" t="inlineStr">
        <is>
          <t>https://www.insurance.ca.gov/01-consumers/105-type/95-guides/03-res/res-ins-guide.cfm</t>
        </is>
      </c>
      <c r="G17" s="43" t="n">
        <v>46295</v>
      </c>
      <c r="H17" s="41" t="inlineStr">
        <is>
          <t>California</t>
        </is>
      </c>
      <c r="I17" s="41" t="inlineStr">
        <is>
          <t>Regulator-published</t>
        </is>
      </c>
      <c r="J17" s="44" t="inlineStr">
        <is>
          <t>Primary source</t>
        </is>
      </c>
      <c r="K17" s="43" t="n">
        <v>46295</v>
      </c>
      <c r="L17" s="41" t="inlineStr">
        <is>
          <t>Snippet of the one-pager was truncated; confirm wording.</t>
        </is>
      </c>
    </row>
    <row r="18" ht="35.05" customHeight="1" s="29">
      <c r="A18" s="41" t="inlineStr">
        <is>
          <t>Rights</t>
        </is>
      </c>
      <c r="B18" s="41" t="inlineStr">
        <is>
          <t>Cancellation</t>
        </is>
      </c>
      <c r="C18" s="41" t="inlineStr">
        <is>
          <t>After 60 days, only for nonpayment, fraud, material misrepresentation, or physical changes that increase hazard; 20 days' notice (10 for nonpayment or fraud)</t>
        </is>
      </c>
      <c r="D18" s="41" t="inlineStr">
        <is>
          <t>CDI Form 401</t>
        </is>
      </c>
      <c r="E18" s="41" t="inlineStr">
        <is>
          <t>CA Dept of Insurance - Residential Insurance: Homeowners and Renters (Form 401, rev. Jan 2026)</t>
        </is>
      </c>
      <c r="F18" s="42" t="inlineStr">
        <is>
          <t>https://www.insurance.ca.gov/01-consumers/105-type/95-guides/03-res/res-ins-guide.cfm</t>
        </is>
      </c>
      <c r="G18" s="43" t="n">
        <v>46295</v>
      </c>
      <c r="H18" s="41" t="inlineStr">
        <is>
          <t>California</t>
        </is>
      </c>
      <c r="I18" s="41" t="inlineStr">
        <is>
          <t>Regulator-published</t>
        </is>
      </c>
      <c r="J18" s="44" t="inlineStr">
        <is>
          <t>Primary source</t>
        </is>
      </c>
      <c r="K18" s="43" t="n">
        <v>46295</v>
      </c>
      <c r="L18" s="41" t="n"/>
    </row>
    <row r="19" ht="35.05" customHeight="1" s="29">
      <c r="A19" s="41" t="inlineStr">
        <is>
          <t>Rights</t>
        </is>
      </c>
      <c r="B19" s="41" t="inlineStr">
        <is>
          <t>Nonrenewal</t>
        </is>
      </c>
      <c r="C19" s="41" t="inlineStr">
        <is>
          <t>Written notice at least 75 days before expiration with the reason; if late, the existing policy stays in effect 75 days from notice</t>
        </is>
      </c>
      <c r="D19" s="41" t="inlineStr">
        <is>
          <t>CDI Form 401</t>
        </is>
      </c>
      <c r="E19" s="41" t="inlineStr">
        <is>
          <t>CA Dept of Insurance - Residential Insurance: Homeowners and Renters (Form 401, rev. Jan 2026)</t>
        </is>
      </c>
      <c r="F19" s="42" t="inlineStr">
        <is>
          <t>https://www.insurance.ca.gov/01-consumers/105-type/95-guides/03-res/res-ins-guide.cfm</t>
        </is>
      </c>
      <c r="G19" s="43" t="n">
        <v>46295</v>
      </c>
      <c r="H19" s="41" t="inlineStr">
        <is>
          <t>California</t>
        </is>
      </c>
      <c r="I19" s="41" t="inlineStr">
        <is>
          <t>Regulator-published</t>
        </is>
      </c>
      <c r="J19" s="44" t="inlineStr">
        <is>
          <t>Primary source</t>
        </is>
      </c>
      <c r="K19" s="43" t="n">
        <v>46295</v>
      </c>
      <c r="L19" s="41" t="n"/>
    </row>
    <row r="20" ht="35.05" customHeight="1" s="29">
      <c r="A20" s="41" t="inlineStr">
        <is>
          <t>Rights</t>
        </is>
      </c>
      <c r="B20" s="41" t="inlineStr">
        <is>
          <t>Premium verification</t>
        </is>
      </c>
      <c r="C20" s="41" t="inlineStr">
        <is>
          <t>Insurer has 60 days to verify rating and underwriting of a new policy and notify of errors</t>
        </is>
      </c>
      <c r="D20" s="41" t="inlineStr">
        <is>
          <t>CDI Form 401</t>
        </is>
      </c>
      <c r="E20" s="41" t="inlineStr">
        <is>
          <t>CA Dept of Insurance - Residential Insurance: Homeowners and Renters (Form 401, rev. Jan 2026)</t>
        </is>
      </c>
      <c r="F20" s="42" t="inlineStr">
        <is>
          <t>https://www.insurance.ca.gov/01-consumers/105-type/95-guides/03-res/res-ins-guide.cfm</t>
        </is>
      </c>
      <c r="G20" s="43" t="n">
        <v>46295</v>
      </c>
      <c r="H20" s="41" t="inlineStr">
        <is>
          <t>California</t>
        </is>
      </c>
      <c r="I20" s="41" t="inlineStr">
        <is>
          <t>Regulator-published</t>
        </is>
      </c>
      <c r="J20" s="44" t="inlineStr">
        <is>
          <t>Primary source</t>
        </is>
      </c>
      <c r="K20" s="43" t="n">
        <v>46295</v>
      </c>
      <c r="L20" s="41" t="n"/>
    </row>
    <row r="21" ht="35.05" customHeight="1" s="29">
      <c r="A21" s="41" t="inlineStr">
        <is>
          <t>Rights</t>
        </is>
      </c>
      <c r="B21" s="41" t="inlineStr">
        <is>
          <t>Time to rebuild (AB 2199)</t>
        </is>
      </c>
      <c r="C21" s="41" t="inlineStr">
        <is>
          <t>At least 12 months (plus 6-month extensions for good cause); 24 months after a declared emergency; may rebuild elsewhere</t>
        </is>
      </c>
      <c r="D21" s="41" t="inlineStr">
        <is>
          <t>CDI Form 401</t>
        </is>
      </c>
      <c r="E21" s="41" t="inlineStr">
        <is>
          <t>CA Dept of Insurance - Residential Insurance: Homeowners and Renters (Form 401, rev. Jan 2026)</t>
        </is>
      </c>
      <c r="F21" s="42" t="inlineStr">
        <is>
          <t>https://www.insurance.ca.gov/01-consumers/105-type/95-guides/03-res/res-ins-guide.cfm</t>
        </is>
      </c>
      <c r="G21" s="43" t="n">
        <v>46295</v>
      </c>
      <c r="H21" s="41" t="inlineStr">
        <is>
          <t>California</t>
        </is>
      </c>
      <c r="I21" s="41" t="inlineStr">
        <is>
          <t>Regulator-published</t>
        </is>
      </c>
      <c r="J21" s="44" t="inlineStr">
        <is>
          <t>Primary source</t>
        </is>
      </c>
      <c r="K21" s="43" t="n">
        <v>46295</v>
      </c>
      <c r="L21" s="41" t="n"/>
    </row>
    <row r="22" ht="35.05" customHeight="1" s="29">
      <c r="A22" s="41" t="inlineStr">
        <is>
          <t>Rights</t>
        </is>
      </c>
      <c r="B22" s="41" t="inlineStr">
        <is>
          <t>Total loss protections (AB 2962)</t>
        </is>
      </c>
      <c r="C22" s="41" t="inlineStr">
        <is>
          <t>Insurer must consult at renewal; cannot cancel mid-rebuild except for fraud; must renew at least once after a declared-disaster total loss not caused by negligence</t>
        </is>
      </c>
      <c r="D22" s="41" t="inlineStr">
        <is>
          <t>CDI Form 401</t>
        </is>
      </c>
      <c r="E22" s="41" t="inlineStr">
        <is>
          <t>CA Dept of Insurance - Residential Insurance: Homeowners and Renters (Form 401, rev. Jan 2026)</t>
        </is>
      </c>
      <c r="F22" s="42" t="inlineStr">
        <is>
          <t>https://www.insurance.ca.gov/01-consumers/105-type/95-guides/03-res/res-ins-guide.cfm</t>
        </is>
      </c>
      <c r="G22" s="43" t="n">
        <v>46295</v>
      </c>
      <c r="H22" s="41" t="inlineStr">
        <is>
          <t>California</t>
        </is>
      </c>
      <c r="I22" s="41" t="inlineStr">
        <is>
          <t>Regulator-published</t>
        </is>
      </c>
      <c r="J22" s="44" t="inlineStr">
        <is>
          <t>Primary source</t>
        </is>
      </c>
      <c r="K22" s="43" t="n">
        <v>46295</v>
      </c>
      <c r="L22" s="41" t="n"/>
    </row>
    <row r="23" ht="35.05" customHeight="1" s="29">
      <c r="A23" s="41" t="inlineStr">
        <is>
          <t>Rights</t>
        </is>
      </c>
      <c r="B23" s="41" t="inlineStr">
        <is>
          <t>Wildfire non-renewal moratorium</t>
        </is>
      </c>
      <c r="C23" s="41" t="inlineStr">
        <is>
          <t>Bars non-renewal of residential policies for one year after a declared wildfire (SB 824); SB 547 extends this to commercial policies from Jan 1, 2026</t>
        </is>
      </c>
      <c r="D23" s="41" t="inlineStr">
        <is>
          <t>CDI press release Dec 30, 2025</t>
        </is>
      </c>
      <c r="E23" s="41" t="inlineStr">
        <is>
          <t>CDI press release - New laws take effect January 1, 2026 (Dec 30, 2025)</t>
        </is>
      </c>
      <c r="F23" s="42" t="inlineStr">
        <is>
          <t>https://www.insurance.ca.gov/0400-news/0100-press-releases/2025/release079-2025.cfm</t>
        </is>
      </c>
      <c r="G23" s="43" t="n">
        <v>46295</v>
      </c>
      <c r="H23" s="41" t="inlineStr">
        <is>
          <t>California</t>
        </is>
      </c>
      <c r="I23" s="41" t="inlineStr">
        <is>
          <t>Regulator-published</t>
        </is>
      </c>
      <c r="J23" s="44" t="inlineStr">
        <is>
          <t>Primary source</t>
        </is>
      </c>
      <c r="K23" s="43" t="n">
        <v>46295</v>
      </c>
      <c r="L23" s="41" t="inlineStr">
        <is>
          <t>Zones covered are set by CDI; check the current list.</t>
        </is>
      </c>
    </row>
    <row r="24" ht="23.85" customHeight="1" s="29">
      <c r="A24" s="41" t="inlineStr">
        <is>
          <t>Rights</t>
        </is>
      </c>
      <c r="B24" s="41" t="inlineStr">
        <is>
          <t>Contents payout without inventory (SB 495)</t>
        </is>
      </c>
      <c r="C24" s="41" t="inlineStr">
        <is>
          <t>Wildfire total loss: 60% of contents limit, capped at $350,000, without a detailed list; at least 100 days for proof of loss after a declared emergency</t>
        </is>
      </c>
      <c r="D24" s="41" t="inlineStr">
        <is>
          <t>CDI press release Dec 30, 2025 (effective Jan 1, 2026)</t>
        </is>
      </c>
      <c r="E24" s="41" t="inlineStr">
        <is>
          <t>CDI press release - New laws take effect January 1, 2026 (Dec 30, 2025)</t>
        </is>
      </c>
      <c r="F24" s="42" t="inlineStr">
        <is>
          <t>https://www.insurance.ca.gov/0400-news/0100-press-releases/2025/release079-2025.cfm</t>
        </is>
      </c>
      <c r="G24" s="43" t="n">
        <v>46295</v>
      </c>
      <c r="H24" s="41" t="inlineStr">
        <is>
          <t>California</t>
        </is>
      </c>
      <c r="I24" s="41" t="inlineStr">
        <is>
          <t>Regulator-published</t>
        </is>
      </c>
      <c r="J24" s="44" t="inlineStr">
        <is>
          <t>Primary source</t>
        </is>
      </c>
      <c r="K24" s="43" t="n">
        <v>46295</v>
      </c>
      <c r="L24" s="41" t="n"/>
    </row>
    <row r="25" ht="35.05" customHeight="1" s="29">
      <c r="A25" s="41" t="inlineStr">
        <is>
          <t>New laws (2026)</t>
        </is>
      </c>
      <c r="B25" s="41" t="inlineStr">
        <is>
          <t>AB 1, AB 226, AB 888, SB 429</t>
        </is>
      </c>
      <c r="C25" s="41" t="inlineStr">
        <is>
          <t>AB 1: regular review of Safer from Wildfires. AB 226: FAIR Plan may use catastrophe bonds and credit lines if authorized. AB 888: grants for fire-safe roofs and Zone Zero. SB 429: grants for a public wildfire model</t>
        </is>
      </c>
      <c r="D25" s="41" t="inlineStr">
        <is>
          <t>CDI press release Dec 30, 2025 (effective Jan 1, 2026)</t>
        </is>
      </c>
      <c r="E25" s="41" t="inlineStr">
        <is>
          <t>CDI press release - New laws take effect January 1, 2026 (Dec 30, 2025)</t>
        </is>
      </c>
      <c r="F25" s="42" t="inlineStr">
        <is>
          <t>https://www.insurance.ca.gov/0400-news/0100-press-releases/2025/release079-2025.cfm</t>
        </is>
      </c>
      <c r="G25" s="43" t="n">
        <v>46295</v>
      </c>
      <c r="H25" s="41" t="inlineStr">
        <is>
          <t>California</t>
        </is>
      </c>
      <c r="I25" s="41" t="inlineStr">
        <is>
          <t>Regulator-published</t>
        </is>
      </c>
      <c r="J25" s="44" t="inlineStr">
        <is>
          <t>Primary source</t>
        </is>
      </c>
      <c r="K25" s="43" t="n">
        <v>46295</v>
      </c>
      <c r="L25" s="41" t="n"/>
    </row>
    <row r="26" ht="35.05" customHeight="1" s="29">
      <c r="A26" s="41" t="inlineStr">
        <is>
          <t>Earthquake</t>
        </is>
      </c>
      <c r="B26" s="41" t="inlineStr">
        <is>
          <t>Must insurers offer it?</t>
        </is>
      </c>
      <c r="C26" s="41" t="inlineStr">
        <is>
          <t>Yes. No residential property policy may be issued or renewed unless the insured is offered earthquake coverage; it may be written by the insurer, another insurer, or the CEA</t>
        </is>
      </c>
      <c r="D26" s="41" t="inlineStr">
        <is>
          <t>Ins. Code 10081; CDI Form 401</t>
        </is>
      </c>
      <c r="E26" s="41" t="inlineStr">
        <is>
          <t>CA Dept of Insurance - Earthquake Insurance</t>
        </is>
      </c>
      <c r="F26" s="42" t="inlineStr">
        <is>
          <t>https://www.insurance.ca.gov/01-consumers/105-type/95-guides/03-res/eq-ins.cfm</t>
        </is>
      </c>
      <c r="G26" s="43" t="n">
        <v>46295</v>
      </c>
      <c r="H26" s="41" t="inlineStr">
        <is>
          <t>California</t>
        </is>
      </c>
      <c r="I26" s="41" t="inlineStr">
        <is>
          <t>Regulator-published</t>
        </is>
      </c>
      <c r="J26" s="44" t="inlineStr">
        <is>
          <t>Primary source</t>
        </is>
      </c>
      <c r="K26" s="43" t="n">
        <v>46295</v>
      </c>
      <c r="L26" s="41" t="n"/>
    </row>
    <row r="27" ht="35.05" customHeight="1" s="29">
      <c r="A27" s="41" t="inlineStr">
        <is>
          <t>Earthquake</t>
        </is>
      </c>
      <c r="B27" s="41" t="inlineStr">
        <is>
          <t>Re-offer schedule</t>
        </is>
      </c>
      <c r="C27" s="41" t="inlineStr">
        <is>
          <t>If declined, the insurer must re-offer earthquake coverage every other year at continuation, renewal or reinstatement; the offer may be made before, at, or within 60 days after issuance or renewal</t>
        </is>
      </c>
      <c r="D27" s="41" t="inlineStr">
        <is>
          <t>Ins. Code 10083(a)-(b)</t>
        </is>
      </c>
      <c r="E27" s="41" t="inlineStr">
        <is>
          <t>CA Insurance Code section 10083 - Earthquake offer timing (Justia)</t>
        </is>
      </c>
      <c r="F27" s="42" t="inlineStr">
        <is>
          <t>https://law.justia.com/codes/california/code-ins/division-2/part-1/chapter-8-5/section-10083/</t>
        </is>
      </c>
      <c r="G27" s="43" t="n">
        <v>46295</v>
      </c>
      <c r="H27" s="41" t="inlineStr">
        <is>
          <t>California</t>
        </is>
      </c>
      <c r="I27" s="41" t="inlineStr">
        <is>
          <t>Statute / regulation text</t>
        </is>
      </c>
      <c r="J27" s="44" t="inlineStr">
        <is>
          <t>Primary source</t>
        </is>
      </c>
      <c r="K27" s="43" t="n">
        <v>46295</v>
      </c>
      <c r="L27" s="41" t="inlineStr">
        <is>
          <t>Confirms the every-other-year rule that earlier came only from agency sites.</t>
        </is>
      </c>
    </row>
    <row r="28" ht="23.85" customHeight="1" s="29">
      <c r="A28" s="41" t="inlineStr">
        <is>
          <t>Earthquake</t>
        </is>
      </c>
      <c r="B28" s="41" t="inlineStr">
        <is>
          <t>Fire after earthquake</t>
        </is>
      </c>
      <c r="C28" s="41" t="inlineStr">
        <is>
          <t>Homeowners and renters policies must cover fire damage caused by or following an earthquake</t>
        </is>
      </c>
      <c r="D28" s="41" t="inlineStr">
        <is>
          <t>CDI earthquake page</t>
        </is>
      </c>
      <c r="E28" s="41" t="inlineStr">
        <is>
          <t>CA Dept of Insurance - Earthquake Insurance</t>
        </is>
      </c>
      <c r="F28" s="42" t="inlineStr">
        <is>
          <t>https://www.insurance.ca.gov/01-consumers/105-type/95-guides/03-res/eq-ins.cfm</t>
        </is>
      </c>
      <c r="G28" s="43" t="n">
        <v>46295</v>
      </c>
      <c r="H28" s="41" t="inlineStr">
        <is>
          <t>California</t>
        </is>
      </c>
      <c r="I28" s="41" t="inlineStr">
        <is>
          <t>Regulator-published</t>
        </is>
      </c>
      <c r="J28" s="44" t="inlineStr">
        <is>
          <t>Primary source</t>
        </is>
      </c>
      <c r="K28" s="43" t="n">
        <v>46295</v>
      </c>
      <c r="L28" s="41" t="n"/>
    </row>
    <row r="29" ht="23.85" customHeight="1" s="29">
      <c r="A29" s="41" t="inlineStr">
        <is>
          <t>Earthquake</t>
        </is>
      </c>
      <c r="B29" s="41" t="inlineStr">
        <is>
          <t>What earthquake insurance does not cover</t>
        </is>
      </c>
      <c r="C29" s="41" t="inlineStr">
        <is>
          <t>Vehicles; flood, sewer/drain backup, tsunami</t>
        </is>
      </c>
      <c r="D29" s="41" t="inlineStr">
        <is>
          <t>CDI earthquake page</t>
        </is>
      </c>
      <c r="E29" s="41" t="inlineStr">
        <is>
          <t>CA Dept of Insurance - Earthquake Insurance</t>
        </is>
      </c>
      <c r="F29" s="42" t="inlineStr">
        <is>
          <t>https://www.insurance.ca.gov/01-consumers/105-type/95-guides/03-res/eq-ins.cfm</t>
        </is>
      </c>
      <c r="G29" s="43" t="n">
        <v>46295</v>
      </c>
      <c r="H29" s="41" t="inlineStr">
        <is>
          <t>California</t>
        </is>
      </c>
      <c r="I29" s="41" t="inlineStr">
        <is>
          <t>Regulator-published</t>
        </is>
      </c>
      <c r="J29" s="44" t="inlineStr">
        <is>
          <t>Primary source</t>
        </is>
      </c>
      <c r="K29" s="43" t="n">
        <v>46295</v>
      </c>
      <c r="L29" s="41" t="n"/>
    </row>
    <row r="30" ht="15" customHeight="1" s="29">
      <c r="A30" s="41" t="inlineStr">
        <is>
          <t>Earthquake</t>
        </is>
      </c>
      <c r="B30" s="41" t="inlineStr">
        <is>
          <t>Claim reporting</t>
        </is>
      </c>
      <c r="C30" s="41" t="inlineStr">
        <is>
          <t>Insurer can deny claims not reported within one year</t>
        </is>
      </c>
      <c r="D30" s="41" t="inlineStr">
        <is>
          <t>CDI earthquake brochure</t>
        </is>
      </c>
      <c r="E30" s="41" t="inlineStr">
        <is>
          <t>CA Dept of Insurance - Earthquake Insurance</t>
        </is>
      </c>
      <c r="F30" s="42" t="inlineStr">
        <is>
          <t>https://www.insurance.ca.gov/01-consumers/105-type/95-guides/03-res/eq-ins.cfm</t>
        </is>
      </c>
      <c r="G30" s="43" t="n">
        <v>46295</v>
      </c>
      <c r="H30" s="41" t="inlineStr">
        <is>
          <t>California</t>
        </is>
      </c>
      <c r="I30" s="41" t="inlineStr">
        <is>
          <t>Regulator-published</t>
        </is>
      </c>
      <c r="J30" s="44" t="inlineStr">
        <is>
          <t>Primary source</t>
        </is>
      </c>
      <c r="K30" s="43" t="n">
        <v>46295</v>
      </c>
      <c r="L30" s="41" t="inlineStr">
        <is>
          <t>From a truncated brochure snippet; confirm.</t>
        </is>
      </c>
    </row>
    <row r="31" ht="35.05" customHeight="1" s="29">
      <c r="A31" s="41" t="inlineStr">
        <is>
          <t>Earthquake</t>
        </is>
      </c>
      <c r="B31" s="41" t="inlineStr">
        <is>
          <t>CEA deductible options</t>
        </is>
      </c>
      <c r="C31" s="41" t="inlineStr">
        <is>
          <t>5%, 10%, 15%, 20%, 25% of dwelling coverage; homes over $1M dwelling limit or pre-1980 raised-foundation homes without verified retrofit only get 15%-25%</t>
        </is>
      </c>
      <c r="D31" s="41" t="inlineStr">
        <is>
          <t>CEA homeowners page</t>
        </is>
      </c>
      <c r="E31" s="41" t="inlineStr">
        <is>
          <t>California Earthquake Authority - Homeowners policies</t>
        </is>
      </c>
      <c r="F31" s="42" t="inlineStr">
        <is>
          <t>https://www.earthquakeauthority.com/california-earthquake-insurance-policies/homeowners</t>
        </is>
      </c>
      <c r="G31" s="43" t="n">
        <v>46295</v>
      </c>
      <c r="H31" s="41" t="inlineStr">
        <is>
          <t>California</t>
        </is>
      </c>
      <c r="I31" s="41" t="inlineStr">
        <is>
          <t>Regulator-published</t>
        </is>
      </c>
      <c r="J31" s="44" t="inlineStr">
        <is>
          <t>Primary source</t>
        </is>
      </c>
      <c r="K31" s="43" t="n">
        <v>46295</v>
      </c>
      <c r="L31" s="41" t="inlineStr">
        <is>
          <t>Premium and take-up figures remain secondary; see Coverage Details.</t>
        </is>
      </c>
    </row>
    <row r="32" ht="23.85" customHeight="1" s="29">
      <c r="A32" s="41" t="inlineStr">
        <is>
          <t>Earthquake</t>
        </is>
      </c>
      <c r="B32" s="41" t="inlineStr">
        <is>
          <t>CEA retrofit discount and loss of use</t>
        </is>
      </c>
      <c r="C32" s="41" t="inlineStr">
        <is>
          <t>Discount up to 25% for retrofit; loss of use never has a deductible</t>
        </is>
      </c>
      <c r="D32" s="41" t="inlineStr">
        <is>
          <t>CEA homeowners page</t>
        </is>
      </c>
      <c r="E32" s="41" t="inlineStr">
        <is>
          <t>California Earthquake Authority - Homeowners policies</t>
        </is>
      </c>
      <c r="F32" s="42" t="inlineStr">
        <is>
          <t>https://www.earthquakeauthority.com/california-earthquake-insurance-policies/homeowners</t>
        </is>
      </c>
      <c r="G32" s="43" t="n">
        <v>46295</v>
      </c>
      <c r="H32" s="41" t="inlineStr">
        <is>
          <t>California</t>
        </is>
      </c>
      <c r="I32" s="41" t="inlineStr">
        <is>
          <t>Regulator-published</t>
        </is>
      </c>
      <c r="J32" s="44" t="inlineStr">
        <is>
          <t>Primary source</t>
        </is>
      </c>
      <c r="K32" s="43" t="n">
        <v>46295</v>
      </c>
      <c r="L32" s="41" t="n"/>
    </row>
    <row r="33" ht="23.85" customHeight="1" s="29">
      <c r="A33" s="41" t="inlineStr">
        <is>
          <t>Flood</t>
        </is>
      </c>
      <c r="B33" s="41" t="inlineStr">
        <is>
          <t>Is flood covered?</t>
        </is>
      </c>
      <c r="C33" s="41" t="inlineStr">
        <is>
          <t>Generally excluded from homeowners and renters policies; NFIP (FEMA) offers it; CDI does not regulate the NFIP</t>
        </is>
      </c>
      <c r="D33" s="41" t="inlineStr">
        <is>
          <t>CDI Form 401; CDI flood page</t>
        </is>
      </c>
      <c r="E33" s="41" t="inlineStr">
        <is>
          <t>CA Dept of Insurance - Flood Insurance Resources</t>
        </is>
      </c>
      <c r="F33" s="42" t="inlineStr">
        <is>
          <t>https://www.insurance.ca.gov/01-consumers/140-catastrophes/FloodFacts.cfm</t>
        </is>
      </c>
      <c r="G33" s="43" t="n">
        <v>46295</v>
      </c>
      <c r="H33" s="41" t="inlineStr">
        <is>
          <t>California</t>
        </is>
      </c>
      <c r="I33" s="41" t="inlineStr">
        <is>
          <t>Regulator-published</t>
        </is>
      </c>
      <c r="J33" s="44" t="inlineStr">
        <is>
          <t>Primary source</t>
        </is>
      </c>
      <c r="K33" s="43" t="n">
        <v>46295</v>
      </c>
      <c r="L33" s="41" t="n"/>
    </row>
    <row r="34" ht="35.05" customHeight="1" s="29">
      <c r="A34" s="41" t="inlineStr">
        <is>
          <t>Flood</t>
        </is>
      </c>
      <c r="B34" s="41" t="inlineStr">
        <is>
          <t>NFIP maximums, single-family</t>
        </is>
      </c>
      <c r="C34" s="41" t="inlineStr">
        <is>
          <t>$250,000 structure; $100,000 contents; renters up to $100,000 contents</t>
        </is>
      </c>
      <c r="D34" s="41" t="inlineStr">
        <is>
          <t>CDI Form 401</t>
        </is>
      </c>
      <c r="E34" s="41" t="inlineStr">
        <is>
          <t>CA Dept of Insurance - Residential Insurance: Homeowners and Renters (Form 401, rev. Jan 2026)</t>
        </is>
      </c>
      <c r="F34" s="42" t="inlineStr">
        <is>
          <t>https://www.insurance.ca.gov/01-consumers/105-type/95-guides/03-res/res-ins-guide.cfm</t>
        </is>
      </c>
      <c r="G34" s="43" t="n">
        <v>46295</v>
      </c>
      <c r="H34" s="41" t="inlineStr">
        <is>
          <t>California</t>
        </is>
      </c>
      <c r="I34" s="41" t="inlineStr">
        <is>
          <t>Regulator-published</t>
        </is>
      </c>
      <c r="J34" s="44" t="inlineStr">
        <is>
          <t>Primary source</t>
        </is>
      </c>
      <c r="K34" s="43" t="n">
        <v>46295</v>
      </c>
      <c r="L34" s="41" t="inlineStr">
        <is>
          <t>Federal program authorization status must be checked live; see Coverage Details.</t>
        </is>
      </c>
    </row>
    <row r="35" ht="23.85" customHeight="1" s="29">
      <c r="A35" s="41" t="inlineStr">
        <is>
          <t>Flood</t>
        </is>
      </c>
      <c r="B35" s="41" t="inlineStr">
        <is>
          <t>FAIR Plan and storms</t>
        </is>
      </c>
      <c r="C35" s="41" t="inlineStr">
        <is>
          <t>FAIR Plan does not cover storm-related damage unless the owner buys a supplemental 'difference in conditions' (DIC) policy from another insurer</t>
        </is>
      </c>
      <c r="D35" s="41" t="inlineStr">
        <is>
          <t>CDI flood page</t>
        </is>
      </c>
      <c r="E35" s="41" t="inlineStr">
        <is>
          <t>CA Dept of Insurance - Flood Insurance Resources</t>
        </is>
      </c>
      <c r="F35" s="42" t="inlineStr">
        <is>
          <t>https://www.insurance.ca.gov/01-consumers/140-catastrophes/FloodFacts.cfm</t>
        </is>
      </c>
      <c r="G35" s="43" t="n">
        <v>46295</v>
      </c>
      <c r="H35" s="41" t="inlineStr">
        <is>
          <t>California</t>
        </is>
      </c>
      <c r="I35" s="41" t="inlineStr">
        <is>
          <t>Regulator-published</t>
        </is>
      </c>
      <c r="J35" s="44" t="inlineStr">
        <is>
          <t>Primary source</t>
        </is>
      </c>
      <c r="K35" s="43" t="n">
        <v>46295</v>
      </c>
      <c r="L35" s="41" t="n"/>
    </row>
    <row r="36" ht="35.05" customHeight="1" s="29">
      <c r="A36" s="41" t="inlineStr">
        <is>
          <t>FAIR Plan</t>
        </is>
      </c>
      <c r="B36" s="41" t="inlineStr">
        <is>
          <t>What it is</t>
        </is>
      </c>
      <c r="C36" s="41" t="inlineStr">
        <is>
          <t>Association of all licensed property insurers; insurer of last resort</t>
        </is>
      </c>
      <c r="D36" s="41" t="inlineStr">
        <is>
          <t>CDI Form 401; FAIR Plan site</t>
        </is>
      </c>
      <c r="E36" s="41" t="inlineStr">
        <is>
          <t>CA Dept of Insurance - Residential Insurance: Homeowners and Renters (Form 401, rev. Jan 2026)</t>
        </is>
      </c>
      <c r="F36" s="42" t="inlineStr">
        <is>
          <t>https://www.insurance.ca.gov/01-consumers/105-type/95-guides/03-res/res-ins-guide.cfm</t>
        </is>
      </c>
      <c r="G36" s="43" t="n">
        <v>46295</v>
      </c>
      <c r="H36" s="41" t="inlineStr">
        <is>
          <t>California</t>
        </is>
      </c>
      <c r="I36" s="41" t="inlineStr">
        <is>
          <t>Regulator-published</t>
        </is>
      </c>
      <c r="J36" s="44" t="inlineStr">
        <is>
          <t>Primary source</t>
        </is>
      </c>
      <c r="K36" s="43" t="n">
        <v>46295</v>
      </c>
      <c r="L36" s="41" t="n"/>
    </row>
    <row r="37" ht="35.05" customHeight="1" s="29">
      <c r="A37" s="41" t="inlineStr">
        <is>
          <t>FAIR Plan</t>
        </is>
      </c>
      <c r="B37" s="41" t="inlineStr">
        <is>
          <t>What it covers</t>
        </is>
      </c>
      <c r="C37" s="41" t="inlineStr">
        <is>
          <t>Standard fire policy for structure and contents; basic property policy with limits; no liability or other perils such as burglary</t>
        </is>
      </c>
      <c r="D37" s="41" t="inlineStr">
        <is>
          <t>CDI Form 401</t>
        </is>
      </c>
      <c r="E37" s="41" t="inlineStr">
        <is>
          <t>CA Dept of Insurance - Residential Insurance: Homeowners and Renters (Form 401, rev. Jan 2026)</t>
        </is>
      </c>
      <c r="F37" s="42" t="inlineStr">
        <is>
          <t>https://www.insurance.ca.gov/01-consumers/105-type/95-guides/03-res/res-ins-guide.cfm</t>
        </is>
      </c>
      <c r="G37" s="43" t="n">
        <v>46295</v>
      </c>
      <c r="H37" s="41" t="inlineStr">
        <is>
          <t>California</t>
        </is>
      </c>
      <c r="I37" s="41" t="inlineStr">
        <is>
          <t>Regulator-published</t>
        </is>
      </c>
      <c r="J37" s="44" t="inlineStr">
        <is>
          <t>Primary source</t>
        </is>
      </c>
      <c r="K37" s="43" t="n">
        <v>46295</v>
      </c>
      <c r="L37" s="41" t="inlineStr">
        <is>
          <t>CDI suggests a DIC or supplemental policy from a private insurer.</t>
        </is>
      </c>
    </row>
    <row r="38" ht="35.05" customHeight="1" s="29">
      <c r="A38" s="41" t="inlineStr">
        <is>
          <t>FAIR Plan</t>
        </is>
      </c>
      <c r="B38" s="41" t="inlineStr">
        <is>
          <t>Broker fees</t>
        </is>
      </c>
      <c r="C38" s="41" t="inlineStr">
        <is>
          <t>Broker may not charge a fee for a FAIR Plan submission</t>
        </is>
      </c>
      <c r="D38" s="41" t="inlineStr">
        <is>
          <t>CDI Form 401</t>
        </is>
      </c>
      <c r="E38" s="41" t="inlineStr">
        <is>
          <t>CA Dept of Insurance - Residential Insurance: Homeowners and Renters (Form 401, rev. Jan 2026)</t>
        </is>
      </c>
      <c r="F38" s="42" t="inlineStr">
        <is>
          <t>https://www.insurance.ca.gov/01-consumers/105-type/95-guides/03-res/res-ins-guide.cfm</t>
        </is>
      </c>
      <c r="G38" s="43" t="n">
        <v>46295</v>
      </c>
      <c r="H38" s="41" t="inlineStr">
        <is>
          <t>California</t>
        </is>
      </c>
      <c r="I38" s="41" t="inlineStr">
        <is>
          <t>Regulator-published</t>
        </is>
      </c>
      <c r="J38" s="44" t="inlineStr">
        <is>
          <t>Primary source</t>
        </is>
      </c>
      <c r="K38" s="43" t="n">
        <v>46295</v>
      </c>
      <c r="L38" s="41" t="n"/>
    </row>
    <row r="39" ht="23.85" customHeight="1" s="29">
      <c r="A39" s="41" t="inlineStr">
        <is>
          <t>FAIR Plan</t>
        </is>
      </c>
      <c r="B39" s="41" t="inlineStr">
        <is>
          <t>Dwelling limit</t>
        </is>
      </c>
      <c r="C39" s="41" t="inlineStr">
        <is>
          <t>$3 million per property</t>
        </is>
      </c>
      <c r="D39" s="41" t="inlineStr">
        <is>
          <t>CDI press release 2019 (effective Apr 1, 2020); Assembly Insurance Committee</t>
        </is>
      </c>
      <c r="E39" s="41" t="inlineStr">
        <is>
          <t>CDI press release 089-19 - FAIR Plan coverage options</t>
        </is>
      </c>
      <c r="F39" s="42" t="inlineStr">
        <is>
          <t>https://www.insurance.ca.gov/0400-news/0100-press-releases/2019/release089-19.cfm</t>
        </is>
      </c>
      <c r="G39" s="43" t="n">
        <v>46295</v>
      </c>
      <c r="H39" s="41" t="inlineStr">
        <is>
          <t>California</t>
        </is>
      </c>
      <c r="I39" s="41" t="inlineStr">
        <is>
          <t>Regulator-published</t>
        </is>
      </c>
      <c r="J39" s="44" t="inlineStr">
        <is>
          <t>Primary source</t>
        </is>
      </c>
      <c r="K39" s="43" t="n">
        <v>46295</v>
      </c>
      <c r="L39" s="41" t="inlineStr">
        <is>
          <t>Confirm current limit on the FAIR Plan site.</t>
        </is>
      </c>
    </row>
    <row r="40" ht="23.85" customHeight="1" s="29">
      <c r="A40" s="41" t="inlineStr">
        <is>
          <t>FAIR Plan</t>
        </is>
      </c>
      <c r="B40" s="41" t="inlineStr">
        <is>
          <t>2026 rate change</t>
        </is>
      </c>
      <c r="C40" s="41" t="inlineStr">
        <is>
          <t>CDI approved a 29.1% average dwelling increase (FAIR Plan asked for 35.8%), effective Oct 15, 2026 per news reports</t>
        </is>
      </c>
      <c r="D40" s="41" t="inlineStr">
        <is>
          <t>News reports, not the CDI decision</t>
        </is>
      </c>
      <c r="E40" s="41" t="inlineStr">
        <is>
          <t>KQED - FAIR Plan announces 29.1% rate hike (Aug 2026)</t>
        </is>
      </c>
      <c r="F40" s="42" t="inlineStr">
        <is>
          <t>https://www.kqed.org/news/12094860/california-fair-plan-announces-29-1-rate-hike-for-homeowners-this-fall</t>
        </is>
      </c>
      <c r="G40" s="43" t="n">
        <v>46295</v>
      </c>
      <c r="H40" s="41" t="inlineStr">
        <is>
          <t>California</t>
        </is>
      </c>
      <c r="I40" s="41" t="inlineStr">
        <is>
          <t>Reference data (secondary source)</t>
        </is>
      </c>
      <c r="J40" s="45" t="inlineStr">
        <is>
          <t>Secondary - unverified</t>
        </is>
      </c>
      <c r="K40" s="43" t="n">
        <v>46295</v>
      </c>
      <c r="L40" s="41" t="inlineStr">
        <is>
          <t>Replaces the earlier 'sought 35.8%' note. Verify in the CDI order.</t>
        </is>
      </c>
    </row>
    <row r="41" ht="23.85" customHeight="1" s="29">
      <c r="A41" s="41" t="inlineStr">
        <is>
          <t>FAIR Plan</t>
        </is>
      </c>
      <c r="B41" s="41" t="inlineStr">
        <is>
          <t>Size</t>
        </is>
      </c>
      <c r="C41" s="41" t="inlineStr">
        <is>
          <t>Exposure $768 billion in June 2026 (KQED); policies 668,600 at end-2025 (InsuranceNewsNet)</t>
        </is>
      </c>
      <c r="D41" s="41" t="inlineStr">
        <is>
          <t>News reports</t>
        </is>
      </c>
      <c r="E41" s="41" t="inlineStr">
        <is>
          <t>InsuranceNewsNet - FAIR Plan rates going up 29.1% (May 2026)</t>
        </is>
      </c>
      <c r="F41" s="42" t="inlineStr">
        <is>
          <t>https://insurancenewsnet.com/oarticle/california-fair-plan-rates-going-up-29-1-in-late-2026</t>
        </is>
      </c>
      <c r="G41" s="43" t="n">
        <v>46295</v>
      </c>
      <c r="H41" s="41" t="inlineStr">
        <is>
          <t>California</t>
        </is>
      </c>
      <c r="I41" s="41" t="inlineStr">
        <is>
          <t>Reference data (secondary source)</t>
        </is>
      </c>
      <c r="J41" s="45" t="inlineStr">
        <is>
          <t>Secondary - unverified</t>
        </is>
      </c>
      <c r="K41" s="43" t="n">
        <v>46295</v>
      </c>
      <c r="L41" s="41" t="inlineStr">
        <is>
          <t>Earlier note: about 697,000 policies in June (CalMatters). Different dates, not a true conflict; a third source's '550,000+' looks stale.</t>
        </is>
      </c>
    </row>
    <row r="42" ht="46.25" customHeight="1" s="29">
      <c r="A42" s="41" t="inlineStr">
        <is>
          <t>Availability</t>
        </is>
      </c>
      <c r="B42" s="41" t="inlineStr">
        <is>
          <t>Sustainable Insurance Strategy</t>
        </is>
      </c>
      <c r="C42" s="41" t="inlineStr">
        <is>
          <t>Insurers that use catastrophe models or reinsurance costs in rates must commit to write at least 85% of their statewide market share in wildfire-distressed areas; larger insurers within two years of a rate filing being adopted</t>
        </is>
      </c>
      <c r="D42" s="41" t="inlineStr">
        <is>
          <t>CDI SIS page; CDI press release 023-2024</t>
        </is>
      </c>
      <c r="E42" s="41" t="inlineStr">
        <is>
          <t>CA Dept of Insurance - Sustainable Insurance Strategy updates</t>
        </is>
      </c>
      <c r="F42" s="42" t="inlineStr">
        <is>
          <t>https://www.insurance.ca.gov/01-consumers/180-climate-change/SustainableInsuranceStrategy.cfm</t>
        </is>
      </c>
      <c r="G42" s="43" t="n">
        <v>46295</v>
      </c>
      <c r="H42" s="41" t="inlineStr">
        <is>
          <t>California</t>
        </is>
      </c>
      <c r="I42" s="41" t="inlineStr">
        <is>
          <t>Regulator-published</t>
        </is>
      </c>
      <c r="J42" s="44" t="inlineStr">
        <is>
          <t>Primary source</t>
        </is>
      </c>
      <c r="K42" s="43" t="n">
        <v>46295</v>
      </c>
      <c r="L42" s="41" t="inlineStr">
        <is>
          <t>CDI monitors this through rate filings. Actual new policies written are not published by CDI in what I found.</t>
        </is>
      </c>
    </row>
    <row r="43" ht="35.05" customHeight="1" s="29">
      <c r="A43" s="41" t="inlineStr">
        <is>
          <t>Availability</t>
        </is>
      </c>
      <c r="B43" s="41" t="inlineStr">
        <is>
          <t>Home Insurance Finder tool</t>
        </is>
      </c>
      <c r="C43" s="41" t="inlineStr">
        <is>
          <t>CDI tool to identify insurers writing in high-risk regions</t>
        </is>
      </c>
      <c r="D43" s="41" t="inlineStr">
        <is>
          <t>CDI Form 401</t>
        </is>
      </c>
      <c r="E43" s="41" t="inlineStr">
        <is>
          <t>CA Dept of Insurance - Residential Insurance: Homeowners and Renters (Form 401, rev. Jan 2026)</t>
        </is>
      </c>
      <c r="F43" s="42" t="inlineStr">
        <is>
          <t>https://www.insurance.ca.gov/01-consumers/105-type/95-guides/03-res/res-ins-guide.cfm</t>
        </is>
      </c>
      <c r="G43" s="43" t="n">
        <v>46295</v>
      </c>
      <c r="H43" s="41" t="inlineStr">
        <is>
          <t>California</t>
        </is>
      </c>
      <c r="I43" s="41" t="inlineStr">
        <is>
          <t>Regulator-published</t>
        </is>
      </c>
      <c r="J43" s="44" t="inlineStr">
        <is>
          <t>Primary source</t>
        </is>
      </c>
      <c r="K43" s="43" t="n">
        <v>46295</v>
      </c>
      <c r="L43" s="41" t="inlineStr">
        <is>
          <t>Possible data source to link to from your site; check terms.</t>
        </is>
      </c>
    </row>
    <row r="44" ht="35.05" customHeight="1" s="29">
      <c r="A44" s="41" t="inlineStr">
        <is>
          <t>Availability</t>
        </is>
      </c>
      <c r="B44" s="41" t="inlineStr">
        <is>
          <t>Surplus lines</t>
        </is>
      </c>
      <c r="C44" s="41" t="inlineStr">
        <is>
          <t>Insurers in this market are not backed by the California Insurance Guarantee Association</t>
        </is>
      </c>
      <c r="D44" s="41" t="inlineStr">
        <is>
          <t>CDI Form 401</t>
        </is>
      </c>
      <c r="E44" s="41" t="inlineStr">
        <is>
          <t>CA Dept of Insurance - Residential Insurance: Homeowners and Renters (Form 401, rev. Jan 2026)</t>
        </is>
      </c>
      <c r="F44" s="42" t="inlineStr">
        <is>
          <t>https://www.insurance.ca.gov/01-consumers/105-type/95-guides/03-res/res-ins-guide.cfm</t>
        </is>
      </c>
      <c r="G44" s="43" t="n">
        <v>46295</v>
      </c>
      <c r="H44" s="41" t="inlineStr">
        <is>
          <t>California</t>
        </is>
      </c>
      <c r="I44" s="41" t="inlineStr">
        <is>
          <t>Regulator-published</t>
        </is>
      </c>
      <c r="J44" s="44" t="inlineStr">
        <is>
          <t>Primary source</t>
        </is>
      </c>
      <c r="K44" s="43" t="n">
        <v>46295</v>
      </c>
      <c r="L44" s="41" t="n"/>
    </row>
    <row r="45" ht="35.05" customHeight="1" s="29">
      <c r="A45" s="41" t="inlineStr">
        <is>
          <t>Brokers</t>
        </is>
      </c>
      <c r="B45" s="41" t="inlineStr">
        <is>
          <t>Broker fee rules</t>
        </is>
      </c>
      <c r="C45" s="41" t="inlineStr">
        <is>
          <t>Advance consent after disclosure, signed Broker Fee Agreement, broker not appointed by the insurer, broker bond on file, fee disclosed at initial quote</t>
        </is>
      </c>
      <c r="D45" s="41" t="inlineStr">
        <is>
          <t>CDI Form 401</t>
        </is>
      </c>
      <c r="E45" s="41" t="inlineStr">
        <is>
          <t>CA Dept of Insurance - Residential Insurance: Homeowners and Renters (Form 401, rev. Jan 2026)</t>
        </is>
      </c>
      <c r="F45" s="42" t="inlineStr">
        <is>
          <t>https://www.insurance.ca.gov/01-consumers/105-type/95-guides/03-res/res-ins-guide.cfm</t>
        </is>
      </c>
      <c r="G45" s="43" t="n">
        <v>46295</v>
      </c>
      <c r="H45" s="41" t="inlineStr">
        <is>
          <t>California</t>
        </is>
      </c>
      <c r="I45" s="41" t="inlineStr">
        <is>
          <t>Regulator-published</t>
        </is>
      </c>
      <c r="J45" s="44" t="inlineStr">
        <is>
          <t>Primary source</t>
        </is>
      </c>
      <c r="K45" s="43" t="n">
        <v>46295</v>
      </c>
      <c r="L45" s="41" t="inlineStr">
        <is>
          <t>Fees are not set by law and may be negotiable.</t>
        </is>
      </c>
    </row>
  </sheetData>
  <autoFilter ref="A1:L45"/>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www.insurance.ca.gov/01-consumers/105-type/95-guides/upload/Homeowners-Insurance-Updated-121924.pdf" r:id="rId1"/>
    <hyperlink xmlns:r="http://schemas.openxmlformats.org/officeDocument/2006/relationships" ref="F3" display="https://www.insurance.ca.gov/01-consumers/105-type/95-guides/03-res/res-ins-guide.cfm" r:id="rId2"/>
    <hyperlink xmlns:r="http://schemas.openxmlformats.org/officeDocument/2006/relationships" ref="F4" display="https://www.insurance.ca.gov/01-consumers/105-type/95-guides/03-res/res-ins-guide.cfm" r:id="rId3"/>
    <hyperlink xmlns:r="http://schemas.openxmlformats.org/officeDocument/2006/relationships" ref="F5" display="https://www.insurance.ca.gov/01-consumers/105-type/95-guides/03-res/res-ins-guide.cfm" r:id="rId4"/>
    <hyperlink xmlns:r="http://schemas.openxmlformats.org/officeDocument/2006/relationships" ref="F6" display="https://www.insurance.ca.gov/01-consumers/105-type/95-guides/03-res/res-ins-guide.cfm" r:id="rId5"/>
    <hyperlink xmlns:r="http://schemas.openxmlformats.org/officeDocument/2006/relationships" ref="F7" display="https://www.insurance.ca.gov/01-consumers/105-type/95-guides/03-res/res-ins-guide.cfm" r:id="rId6"/>
    <hyperlink xmlns:r="http://schemas.openxmlformats.org/officeDocument/2006/relationships" ref="F8" display="https://www.insurance.ca.gov/01-consumers/105-type/95-guides/03-res/res-ins-guide.cfm" r:id="rId7"/>
    <hyperlink xmlns:r="http://schemas.openxmlformats.org/officeDocument/2006/relationships" ref="F9" display="https://www.insurance.ca.gov/01-consumers/105-type/95-guides/03-res/res-ins-guide.cfm" r:id="rId8"/>
    <hyperlink xmlns:r="http://schemas.openxmlformats.org/officeDocument/2006/relationships" ref="F10" display="https://www.insurance.ca.gov/01-consumers/105-type/95-guides/03-res/res-ins-guide.cfm" r:id="rId9"/>
    <hyperlink xmlns:r="http://schemas.openxmlformats.org/officeDocument/2006/relationships" ref="F11" display="https://www.insurance.ca.gov/01-consumers/105-type/95-guides/03-res/res-ins-guide.cfm" r:id="rId10"/>
    <hyperlink xmlns:r="http://schemas.openxmlformats.org/officeDocument/2006/relationships" ref="F12" display="https://www.insurance.ca.gov/01-consumers/105-type/95-guides/03-res/res-ins-guide.cfm" r:id="rId11"/>
    <hyperlink xmlns:r="http://schemas.openxmlformats.org/officeDocument/2006/relationships" ref="F13" display="https://www.insurance.ca.gov/01-consumers/105-type/95-guides/03-res/res-ins-guide.cfm" r:id="rId12"/>
    <hyperlink xmlns:r="http://schemas.openxmlformats.org/officeDocument/2006/relationships" ref="F14" display="https://www.insurance.ca.gov/01-consumers/105-type/95-guides/03-res/res-ins-guide.cfm" r:id="rId13"/>
    <hyperlink xmlns:r="http://schemas.openxmlformats.org/officeDocument/2006/relationships" ref="F15" display="https://www.insurance.ca.gov/01-consumers/200-wrr/Safer-from-Wildfires.cfm" r:id="rId14"/>
    <hyperlink xmlns:r="http://schemas.openxmlformats.org/officeDocument/2006/relationships" ref="F16" display="https://media.rff.org/documents/WP_25-30.pdf" r:id="rId15"/>
    <hyperlink xmlns:r="http://schemas.openxmlformats.org/officeDocument/2006/relationships" ref="F17" display="https://www.insurance.ca.gov/01-consumers/105-type/95-guides/03-res/res-ins-guide.cfm" r:id="rId16"/>
    <hyperlink xmlns:r="http://schemas.openxmlformats.org/officeDocument/2006/relationships" ref="F18" display="https://www.insurance.ca.gov/01-consumers/105-type/95-guides/03-res/res-ins-guide.cfm" r:id="rId17"/>
    <hyperlink xmlns:r="http://schemas.openxmlformats.org/officeDocument/2006/relationships" ref="F19" display="https://www.insurance.ca.gov/01-consumers/105-type/95-guides/03-res/res-ins-guide.cfm" r:id="rId18"/>
    <hyperlink xmlns:r="http://schemas.openxmlformats.org/officeDocument/2006/relationships" ref="F20" display="https://www.insurance.ca.gov/01-consumers/105-type/95-guides/03-res/res-ins-guide.cfm" r:id="rId19"/>
    <hyperlink xmlns:r="http://schemas.openxmlformats.org/officeDocument/2006/relationships" ref="F21" display="https://www.insurance.ca.gov/01-consumers/105-type/95-guides/03-res/res-ins-guide.cfm" r:id="rId20"/>
    <hyperlink xmlns:r="http://schemas.openxmlformats.org/officeDocument/2006/relationships" ref="F22" display="https://www.insurance.ca.gov/01-consumers/105-type/95-guides/03-res/res-ins-guide.cfm" r:id="rId21"/>
    <hyperlink xmlns:r="http://schemas.openxmlformats.org/officeDocument/2006/relationships" ref="F23" display="https://www.insurance.ca.gov/0400-news/0100-press-releases/2025/release079-2025.cfm" r:id="rId22"/>
    <hyperlink xmlns:r="http://schemas.openxmlformats.org/officeDocument/2006/relationships" ref="F24" display="https://www.insurance.ca.gov/0400-news/0100-press-releases/2025/release079-2025.cfm" r:id="rId23"/>
    <hyperlink xmlns:r="http://schemas.openxmlformats.org/officeDocument/2006/relationships" ref="F25" display="https://www.insurance.ca.gov/0400-news/0100-press-releases/2025/release079-2025.cfm" r:id="rId24"/>
    <hyperlink xmlns:r="http://schemas.openxmlformats.org/officeDocument/2006/relationships" ref="F26" display="https://www.insurance.ca.gov/01-consumers/105-type/95-guides/03-res/eq-ins.cfm" r:id="rId25"/>
    <hyperlink xmlns:r="http://schemas.openxmlformats.org/officeDocument/2006/relationships" ref="F27" display="https://law.justia.com/codes/california/code-ins/division-2/part-1/chapter-8-5/section-10083/" r:id="rId26"/>
    <hyperlink xmlns:r="http://schemas.openxmlformats.org/officeDocument/2006/relationships" ref="F28" display="https://www.insurance.ca.gov/01-consumers/105-type/95-guides/03-res/eq-ins.cfm" r:id="rId27"/>
    <hyperlink xmlns:r="http://schemas.openxmlformats.org/officeDocument/2006/relationships" ref="F29" display="https://www.insurance.ca.gov/01-consumers/105-type/95-guides/03-res/eq-ins.cfm" r:id="rId28"/>
    <hyperlink xmlns:r="http://schemas.openxmlformats.org/officeDocument/2006/relationships" ref="F30" display="https://www.insurance.ca.gov/01-consumers/105-type/95-guides/03-res/eq-ins.cfm" r:id="rId29"/>
    <hyperlink xmlns:r="http://schemas.openxmlformats.org/officeDocument/2006/relationships" ref="F31" display="https://www.earthquakeauthority.com/california-earthquake-insurance-policies/homeowners" r:id="rId30"/>
    <hyperlink xmlns:r="http://schemas.openxmlformats.org/officeDocument/2006/relationships" ref="F32" display="https://www.earthquakeauthority.com/california-earthquake-insurance-policies/homeowners" r:id="rId31"/>
    <hyperlink xmlns:r="http://schemas.openxmlformats.org/officeDocument/2006/relationships" ref="F33" display="https://www.insurance.ca.gov/01-consumers/140-catastrophes/FloodFacts.cfm" r:id="rId32"/>
    <hyperlink xmlns:r="http://schemas.openxmlformats.org/officeDocument/2006/relationships" ref="F34" display="https://www.insurance.ca.gov/01-consumers/105-type/95-guides/03-res/res-ins-guide.cfm" r:id="rId33"/>
    <hyperlink xmlns:r="http://schemas.openxmlformats.org/officeDocument/2006/relationships" ref="F35" display="https://www.insurance.ca.gov/01-consumers/140-catastrophes/FloodFacts.cfm" r:id="rId34"/>
    <hyperlink xmlns:r="http://schemas.openxmlformats.org/officeDocument/2006/relationships" ref="F36" display="https://www.insurance.ca.gov/01-consumers/105-type/95-guides/03-res/res-ins-guide.cfm" r:id="rId35"/>
    <hyperlink xmlns:r="http://schemas.openxmlformats.org/officeDocument/2006/relationships" ref="F37" display="https://www.insurance.ca.gov/01-consumers/105-type/95-guides/03-res/res-ins-guide.cfm" r:id="rId36"/>
    <hyperlink xmlns:r="http://schemas.openxmlformats.org/officeDocument/2006/relationships" ref="F38" display="https://www.insurance.ca.gov/01-consumers/105-type/95-guides/03-res/res-ins-guide.cfm" r:id="rId37"/>
    <hyperlink xmlns:r="http://schemas.openxmlformats.org/officeDocument/2006/relationships" ref="F39" display="https://www.insurance.ca.gov/0400-news/0100-press-releases/2019/release089-19.cfm" r:id="rId38"/>
    <hyperlink xmlns:r="http://schemas.openxmlformats.org/officeDocument/2006/relationships" ref="F40" display="https://www.kqed.org/news/12094860/california-fair-plan-announces-29-1-rate-hike-for-homeowners-this-fall" r:id="rId39"/>
    <hyperlink xmlns:r="http://schemas.openxmlformats.org/officeDocument/2006/relationships" ref="F41" display="https://insurancenewsnet.com/oarticle/california-fair-plan-rates-going-up-29-1-in-late-2026" r:id="rId40"/>
    <hyperlink xmlns:r="http://schemas.openxmlformats.org/officeDocument/2006/relationships" ref="F42" display="https://www.insurance.ca.gov/01-consumers/180-climate-change/SustainableInsuranceStrategy.cfm" r:id="rId41"/>
    <hyperlink xmlns:r="http://schemas.openxmlformats.org/officeDocument/2006/relationships" ref="F43" display="https://www.insurance.ca.gov/01-consumers/105-type/95-guides/03-res/res-ins-guide.cfm" r:id="rId42"/>
    <hyperlink xmlns:r="http://schemas.openxmlformats.org/officeDocument/2006/relationships" ref="F44" display="https://www.insurance.ca.gov/01-consumers/105-type/95-guides/03-res/res-ins-guide.cfm" r:id="rId43"/>
    <hyperlink xmlns:r="http://schemas.openxmlformats.org/officeDocument/2006/relationships" ref="F45" display="https://www.insurance.ca.gov/01-consumers/105-type/95-guides/03-res/res-ins-guide.cfm" r:id="rId4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1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8" customWidth="1" style="28" min="1" max="1"/>
    <col width="34" customWidth="1" style="28" min="2" max="2"/>
    <col width="60" customWidth="1" style="28" min="3" max="3"/>
    <col width="34" customWidth="1" style="28" min="4" max="4"/>
    <col width="42" customWidth="1" style="28" min="5" max="5"/>
    <col width="52" customWidth="1" style="28" min="6" max="6"/>
    <col width="12" customWidth="1" style="28" min="7" max="7"/>
    <col width="20" customWidth="1" style="28" min="8" max="8"/>
    <col width="24" customWidth="1" style="28" min="9" max="9"/>
    <col width="18" customWidth="1" style="28" min="10" max="10"/>
    <col width="12" customWidth="1" style="28" min="11" max="11"/>
    <col width="50" customWidth="1" style="28" min="12" max="12"/>
  </cols>
  <sheetData>
    <row r="1" ht="31.5" customHeight="1" s="29">
      <c r="A1" s="40" t="inlineStr">
        <is>
          <t>Topic</t>
        </is>
      </c>
      <c r="B1" s="40" t="inlineStr">
        <is>
          <t>Fact</t>
        </is>
      </c>
      <c r="C1" s="40" t="inlineStr">
        <is>
          <t>Value</t>
        </is>
      </c>
      <c r="D1" s="40" t="inlineStr">
        <is>
          <t>Legal Citation</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23.85" customHeight="1" s="29">
      <c r="A2" s="41" t="inlineStr">
        <is>
          <t>Minimum liability</t>
        </is>
      </c>
      <c r="B2" s="41" t="inlineStr">
        <is>
          <t>Bodily injury and property damage</t>
        </is>
      </c>
      <c r="C2" s="41" t="inlineStr">
        <is>
          <t>30/60/25: $30,000 per person, $60,000 per accident, $25,000 property damage</t>
        </is>
      </c>
      <c r="D2" s="41" t="inlineStr">
        <is>
          <t>TDI guide (Transportation Code 601.072 per secondary sources)</t>
        </is>
      </c>
      <c r="E2" s="41" t="inlineStr">
        <is>
          <t>Texas Dept of Insurance - Auto insurance guide (CB020)</t>
        </is>
      </c>
      <c r="F2" s="42" t="inlineStr">
        <is>
          <t>https://www.tdi.texas.gov/pubs/consumer/cb020.html</t>
        </is>
      </c>
      <c r="G2" s="43" t="n">
        <v>46295</v>
      </c>
      <c r="H2" s="41" t="inlineStr">
        <is>
          <t>Texas</t>
        </is>
      </c>
      <c r="I2" s="41" t="inlineStr">
        <is>
          <t>Regulator-published</t>
        </is>
      </c>
      <c r="J2" s="44" t="inlineStr">
        <is>
          <t>Primary source</t>
        </is>
      </c>
      <c r="K2" s="43" t="n">
        <v>46295</v>
      </c>
      <c r="L2" s="41" t="inlineStr">
        <is>
          <t>TDI: collision and comprehensive are required only by lenders.</t>
        </is>
      </c>
    </row>
    <row r="3" ht="23.85" customHeight="1" s="29">
      <c r="A3" s="41" t="inlineStr">
        <is>
          <t>Other coverages</t>
        </is>
      </c>
      <c r="B3" s="41" t="inlineStr">
        <is>
          <t>Personal injury protection (PIP)</t>
        </is>
      </c>
      <c r="C3" s="41" t="inlineStr">
        <is>
          <t>Included on auto policies; the insured must reject it in writing</t>
        </is>
      </c>
      <c r="D3" s="41" t="inlineStr">
        <is>
          <t>TDI guide</t>
        </is>
      </c>
      <c r="E3" s="41" t="inlineStr">
        <is>
          <t>Texas Dept of Insurance - Auto insurance guide (CB020)</t>
        </is>
      </c>
      <c r="F3" s="42" t="inlineStr">
        <is>
          <t>https://www.tdi.texas.gov/pubs/consumer/cb020.html</t>
        </is>
      </c>
      <c r="G3" s="43" t="n">
        <v>46295</v>
      </c>
      <c r="H3" s="41" t="inlineStr">
        <is>
          <t>Texas</t>
        </is>
      </c>
      <c r="I3" s="41" t="inlineStr">
        <is>
          <t>Regulator-published</t>
        </is>
      </c>
      <c r="J3" s="44" t="inlineStr">
        <is>
          <t>Primary source</t>
        </is>
      </c>
      <c r="K3" s="43" t="n">
        <v>46295</v>
      </c>
      <c r="L3" s="41" t="inlineStr">
        <is>
          <t>PIP dollar amount not stated by TDI.</t>
        </is>
      </c>
    </row>
    <row r="4" ht="23.85" customHeight="1" s="29">
      <c r="A4" s="41" t="inlineStr">
        <is>
          <t>Other coverages</t>
        </is>
      </c>
      <c r="B4" s="41" t="inlineStr">
        <is>
          <t>PIP amount</t>
        </is>
      </c>
      <c r="C4" s="41" t="inlineStr">
        <is>
          <t>Insurers must offer $2,500</t>
        </is>
      </c>
      <c r="D4" s="41" t="inlineStr">
        <is>
          <t>Law-firm blog</t>
        </is>
      </c>
      <c r="E4" s="41" t="inlineStr">
        <is>
          <t>Ashmore Law Firm - Car insurance: do you have enough?</t>
        </is>
      </c>
      <c r="F4" s="42" t="inlineStr">
        <is>
          <t>https://www.ashmorelaw.com/blog/car-insurance-do-you-have-enough-.cfm</t>
        </is>
      </c>
      <c r="G4" s="43" t="n">
        <v>46295</v>
      </c>
      <c r="H4" s="41" t="inlineStr">
        <is>
          <t>Texas</t>
        </is>
      </c>
      <c r="I4" s="41" t="inlineStr">
        <is>
          <t>Reference data (secondary source)</t>
        </is>
      </c>
      <c r="J4" s="45" t="inlineStr">
        <is>
          <t>Secondary - unverified</t>
        </is>
      </c>
      <c r="K4" s="43" t="n">
        <v>46295</v>
      </c>
      <c r="L4" s="41" t="inlineStr">
        <is>
          <t>Confirm in Insurance Code chapter 1952.</t>
        </is>
      </c>
    </row>
    <row r="5" ht="23.85" customHeight="1" s="29">
      <c r="A5" s="41" t="inlineStr">
        <is>
          <t>Other coverages</t>
        </is>
      </c>
      <c r="B5" s="41" t="inlineStr">
        <is>
          <t>Uninsured/underinsured motorist</t>
        </is>
      </c>
      <c r="C5" s="41" t="inlineStr">
        <is>
          <t>Insurers must offer it; rejection must be in writing</t>
        </is>
      </c>
      <c r="D5" s="41" t="inlineStr">
        <is>
          <t>TDI guide</t>
        </is>
      </c>
      <c r="E5" s="41" t="inlineStr">
        <is>
          <t>Texas Dept of Insurance - Auto insurance guide (CB020)</t>
        </is>
      </c>
      <c r="F5" s="42" t="inlineStr">
        <is>
          <t>https://www.tdi.texas.gov/pubs/consumer/cb020.html</t>
        </is>
      </c>
      <c r="G5" s="43" t="n">
        <v>46295</v>
      </c>
      <c r="H5" s="41" t="inlineStr">
        <is>
          <t>Texas</t>
        </is>
      </c>
      <c r="I5" s="41" t="inlineStr">
        <is>
          <t>Regulator-published</t>
        </is>
      </c>
      <c r="J5" s="44" t="inlineStr">
        <is>
          <t>Primary source</t>
        </is>
      </c>
      <c r="K5" s="43" t="n">
        <v>46295</v>
      </c>
      <c r="L5" s="41" t="n"/>
    </row>
    <row r="6" ht="23.85" customHeight="1" s="29">
      <c r="A6" s="41" t="inlineStr">
        <is>
          <t>Other coverages</t>
        </is>
      </c>
      <c r="B6" s="41" t="inlineStr">
        <is>
          <t>Medical payments</t>
        </is>
      </c>
      <c r="C6" s="41" t="inlineStr">
        <is>
          <t>Optional; pays medical bills for you and passengers</t>
        </is>
      </c>
      <c r="D6" s="41" t="inlineStr">
        <is>
          <t>TDI guide</t>
        </is>
      </c>
      <c r="E6" s="41" t="inlineStr">
        <is>
          <t>Texas Dept of Insurance - Auto insurance guide (CB020)</t>
        </is>
      </c>
      <c r="F6" s="42" t="inlineStr">
        <is>
          <t>https://www.tdi.texas.gov/pubs/consumer/cb020.html</t>
        </is>
      </c>
      <c r="G6" s="43" t="n">
        <v>46295</v>
      </c>
      <c r="H6" s="41" t="inlineStr">
        <is>
          <t>Texas</t>
        </is>
      </c>
      <c r="I6" s="41" t="inlineStr">
        <is>
          <t>Regulator-published</t>
        </is>
      </c>
      <c r="J6" s="44" t="inlineStr">
        <is>
          <t>Primary source</t>
        </is>
      </c>
      <c r="K6" s="43" t="n">
        <v>46295</v>
      </c>
      <c r="L6" s="41" t="n"/>
    </row>
    <row r="7" ht="23.85" customHeight="1" s="29">
      <c r="A7" s="41" t="inlineStr">
        <is>
          <t>Rates</t>
        </is>
      </c>
      <c r="B7" s="41" t="inlineStr">
        <is>
          <t>Rate approval</t>
        </is>
      </c>
      <c r="C7" s="41" t="inlineStr">
        <is>
          <t>No prior approval; TDI can order refunds if rates are too high; rates must be fair, reasonable and adequate</t>
        </is>
      </c>
      <c r="D7" s="41" t="inlineStr">
        <is>
          <t>TDI guide</t>
        </is>
      </c>
      <c r="E7" s="41" t="inlineStr">
        <is>
          <t>Texas Dept of Insurance - Auto insurance guide (CB020)</t>
        </is>
      </c>
      <c r="F7" s="42" t="inlineStr">
        <is>
          <t>https://www.tdi.texas.gov/pubs/consumer/cb020.html</t>
        </is>
      </c>
      <c r="G7" s="43" t="n">
        <v>46295</v>
      </c>
      <c r="H7" s="41" t="inlineStr">
        <is>
          <t>Texas</t>
        </is>
      </c>
      <c r="I7" s="41" t="inlineStr">
        <is>
          <t>Regulator-published</t>
        </is>
      </c>
      <c r="J7" s="44" t="inlineStr">
        <is>
          <t>Primary source</t>
        </is>
      </c>
      <c r="K7" s="43" t="n">
        <v>46295</v>
      </c>
      <c r="L7" s="41" t="n"/>
    </row>
    <row r="8" ht="23.85" customHeight="1" s="29">
      <c r="A8" s="41" t="inlineStr">
        <is>
          <t>Rating</t>
        </is>
      </c>
      <c r="B8" s="41" t="inlineStr">
        <is>
          <t>Prohibited factors</t>
        </is>
      </c>
      <c r="C8" s="41" t="inlineStr">
        <is>
          <t>Race, color, religion, national origin may not be used to deny or charge more</t>
        </is>
      </c>
      <c r="D8" s="41" t="inlineStr">
        <is>
          <t>TDI guide</t>
        </is>
      </c>
      <c r="E8" s="41" t="inlineStr">
        <is>
          <t>Texas Dept of Insurance - Auto insurance guide (CB020)</t>
        </is>
      </c>
      <c r="F8" s="42" t="inlineStr">
        <is>
          <t>https://www.tdi.texas.gov/pubs/consumer/cb020.html</t>
        </is>
      </c>
      <c r="G8" s="43" t="n">
        <v>46295</v>
      </c>
      <c r="H8" s="41" t="inlineStr">
        <is>
          <t>Texas</t>
        </is>
      </c>
      <c r="I8" s="41" t="inlineStr">
        <is>
          <t>Regulator-published</t>
        </is>
      </c>
      <c r="J8" s="44" t="inlineStr">
        <is>
          <t>Primary source</t>
        </is>
      </c>
      <c r="K8" s="43" t="n">
        <v>46295</v>
      </c>
      <c r="L8" s="41" t="n"/>
    </row>
    <row r="9" ht="23.85" customHeight="1" s="29">
      <c r="A9" s="41" t="inlineStr">
        <is>
          <t>Rating</t>
        </is>
      </c>
      <c r="B9" s="41" t="inlineStr">
        <is>
          <t>Age, gender, marital status, location, disability</t>
        </is>
      </c>
      <c r="C9" s="41" t="inlineStr">
        <is>
          <t>Allowed only if the company can show a greater risk of loss</t>
        </is>
      </c>
      <c r="D9" s="41" t="inlineStr">
        <is>
          <t>TDI guide</t>
        </is>
      </c>
      <c r="E9" s="41" t="inlineStr">
        <is>
          <t>Texas Dept of Insurance - Auto insurance guide (CB020)</t>
        </is>
      </c>
      <c r="F9" s="42" t="inlineStr">
        <is>
          <t>https://www.tdi.texas.gov/pubs/consumer/cb020.html</t>
        </is>
      </c>
      <c r="G9" s="43" t="n">
        <v>46295</v>
      </c>
      <c r="H9" s="41" t="inlineStr">
        <is>
          <t>Texas</t>
        </is>
      </c>
      <c r="I9" s="41" t="inlineStr">
        <is>
          <t>Regulator-published</t>
        </is>
      </c>
      <c r="J9" s="44" t="inlineStr">
        <is>
          <t>Primary source</t>
        </is>
      </c>
      <c r="K9" s="43" t="n">
        <v>46295</v>
      </c>
      <c r="L9" s="41" t="n"/>
    </row>
    <row r="10" ht="23.85" customHeight="1" s="29">
      <c r="A10" s="41" t="inlineStr">
        <is>
          <t>Rating</t>
        </is>
      </c>
      <c r="B10" s="41" t="inlineStr">
        <is>
          <t>Credit score</t>
        </is>
      </c>
      <c r="C10" s="41" t="inlineStr">
        <is>
          <t>May be used, but not as the only reason to turn you down or charge more; HelpInsure.com shows which companies use it</t>
        </is>
      </c>
      <c r="D10" s="41" t="inlineStr">
        <is>
          <t>TDI guide</t>
        </is>
      </c>
      <c r="E10" s="41" t="inlineStr">
        <is>
          <t>Texas Dept of Insurance - Auto insurance guide (CB020)</t>
        </is>
      </c>
      <c r="F10" s="42" t="inlineStr">
        <is>
          <t>https://www.tdi.texas.gov/pubs/consumer/cb020.html</t>
        </is>
      </c>
      <c r="G10" s="43" t="n">
        <v>46295</v>
      </c>
      <c r="H10" s="41" t="inlineStr">
        <is>
          <t>Texas</t>
        </is>
      </c>
      <c r="I10" s="41" t="inlineStr">
        <is>
          <t>Regulator-published</t>
        </is>
      </c>
      <c r="J10" s="44" t="inlineStr">
        <is>
          <t>Primary source</t>
        </is>
      </c>
      <c r="K10" s="43" t="n">
        <v>46295</v>
      </c>
      <c r="L10" s="41" t="n"/>
    </row>
    <row r="11" ht="23.85" customHeight="1" s="29">
      <c r="A11" s="41" t="inlineStr">
        <is>
          <t>Rating</t>
        </is>
      </c>
      <c r="B11" s="41" t="inlineStr">
        <is>
          <t>Other factors TDI names</t>
        </is>
      </c>
      <c r="C11" s="41" t="inlineStr">
        <is>
          <t>Driving record and claims history (CLUE), where the car is kept, vehicle type, how the car is used, credit score</t>
        </is>
      </c>
      <c r="D11" s="41" t="inlineStr">
        <is>
          <t>TDI guide</t>
        </is>
      </c>
      <c r="E11" s="41" t="inlineStr">
        <is>
          <t>Texas Dept of Insurance - Auto insurance guide (CB020)</t>
        </is>
      </c>
      <c r="F11" s="42" t="inlineStr">
        <is>
          <t>https://www.tdi.texas.gov/pubs/consumer/cb020.html</t>
        </is>
      </c>
      <c r="G11" s="43" t="n">
        <v>46295</v>
      </c>
      <c r="H11" s="41" t="inlineStr">
        <is>
          <t>Texas</t>
        </is>
      </c>
      <c r="I11" s="41" t="inlineStr">
        <is>
          <t>Regulator-published</t>
        </is>
      </c>
      <c r="J11" s="44" t="inlineStr">
        <is>
          <t>Primary source</t>
        </is>
      </c>
      <c r="K11" s="43" t="n">
        <v>46295</v>
      </c>
      <c r="L11" s="41" t="n"/>
    </row>
    <row r="12" ht="23.85" customHeight="1" s="29">
      <c r="A12" s="41" t="inlineStr">
        <is>
          <t>Discounts</t>
        </is>
      </c>
      <c r="B12" s="41" t="inlineStr">
        <is>
          <t>Discounts</t>
        </is>
      </c>
      <c r="C12" s="41" t="inlineStr">
        <is>
          <t>Each company decides what to offer and the amount</t>
        </is>
      </c>
      <c r="D12" s="41" t="inlineStr">
        <is>
          <t>TDI guide</t>
        </is>
      </c>
      <c r="E12" s="41" t="inlineStr">
        <is>
          <t>Texas Dept of Insurance - Auto insurance guide (CB020)</t>
        </is>
      </c>
      <c r="F12" s="42" t="inlineStr">
        <is>
          <t>https://www.tdi.texas.gov/pubs/consumer/cb020.html</t>
        </is>
      </c>
      <c r="G12" s="43" t="n">
        <v>46295</v>
      </c>
      <c r="H12" s="41" t="inlineStr">
        <is>
          <t>Texas</t>
        </is>
      </c>
      <c r="I12" s="41" t="inlineStr">
        <is>
          <t>Regulator-published</t>
        </is>
      </c>
      <c r="J12" s="44" t="inlineStr">
        <is>
          <t>Primary source</t>
        </is>
      </c>
      <c r="K12" s="43" t="n">
        <v>46295</v>
      </c>
      <c r="L12" s="41" t="inlineStr">
        <is>
          <t>Examples TDI lists: airbags/ABS/antitheft, defensive driving or driver education, multi-car, multi-policy, no claims.</t>
        </is>
      </c>
    </row>
    <row r="13" ht="35.05" customHeight="1" s="29">
      <c r="A13" s="41" t="inlineStr">
        <is>
          <t>Policy changes</t>
        </is>
      </c>
      <c r="B13" s="41" t="inlineStr">
        <is>
          <t>Cancellation</t>
        </is>
      </c>
      <c r="C13" s="41" t="inlineStr">
        <is>
          <t>10 days' notice; any reason in first 60 days; afterwards only nonpayment, fraudulent claim, or suspended license/registration; unearned premium refunded within 15 days</t>
        </is>
      </c>
      <c r="D13" s="41" t="inlineStr">
        <is>
          <t>TDI guide</t>
        </is>
      </c>
      <c r="E13" s="41" t="inlineStr">
        <is>
          <t>Texas Dept of Insurance - Auto insurance guide (CB020)</t>
        </is>
      </c>
      <c r="F13" s="42" t="inlineStr">
        <is>
          <t>https://www.tdi.texas.gov/pubs/consumer/cb020.html</t>
        </is>
      </c>
      <c r="G13" s="43" t="n">
        <v>46295</v>
      </c>
      <c r="H13" s="41" t="inlineStr">
        <is>
          <t>Texas</t>
        </is>
      </c>
      <c r="I13" s="41" t="inlineStr">
        <is>
          <t>Regulator-published</t>
        </is>
      </c>
      <c r="J13" s="44" t="inlineStr">
        <is>
          <t>Primary source</t>
        </is>
      </c>
      <c r="K13" s="43" t="n">
        <v>46295</v>
      </c>
      <c r="L13" s="41" t="n"/>
    </row>
    <row r="14" ht="35.05" customHeight="1" s="29">
      <c r="A14" s="41" t="inlineStr">
        <is>
          <t>Policy changes</t>
        </is>
      </c>
      <c r="B14" s="41" t="inlineStr">
        <is>
          <t>Nonrenewal</t>
        </is>
      </c>
      <c r="C14" s="41" t="inlineStr">
        <is>
          <t>Written reason; 60 days' notice if bought or renewed in 2024 (30 days for 2023 or earlier); only after 12 months in effect; no nonrenewal for age or certain claims (weather, hitting an animal, not-at-fault, flying objects)</t>
        </is>
      </c>
      <c r="D14" s="41" t="inlineStr">
        <is>
          <t>TDI guide</t>
        </is>
      </c>
      <c r="E14" s="41" t="inlineStr">
        <is>
          <t>Texas Dept of Insurance - Auto insurance guide (CB020)</t>
        </is>
      </c>
      <c r="F14" s="42" t="inlineStr">
        <is>
          <t>https://www.tdi.texas.gov/pubs/consumer/cb020.html</t>
        </is>
      </c>
      <c r="G14" s="43" t="n">
        <v>46295</v>
      </c>
      <c r="H14" s="41" t="inlineStr">
        <is>
          <t>Texas</t>
        </is>
      </c>
      <c r="I14" s="41" t="inlineStr">
        <is>
          <t>Regulator-published</t>
        </is>
      </c>
      <c r="J14" s="46" t="inlineStr">
        <is>
          <t>Conflicting</t>
        </is>
      </c>
      <c r="K14" s="43" t="n">
        <v>46295</v>
      </c>
      <c r="L14" s="41" t="inlineStr">
        <is>
          <t>Wording is date-specific; confirm the current notice period with TDI.</t>
        </is>
      </c>
    </row>
    <row r="15" ht="35.05" customHeight="1" s="29">
      <c r="A15" s="41" t="inlineStr">
        <is>
          <t>Programs</t>
        </is>
      </c>
      <c r="B15" s="41" t="inlineStr">
        <is>
          <t>Texas Automobile Insurance Plan (TAIPA)</t>
        </is>
      </c>
      <c r="C15" s="41" t="inlineStr">
        <is>
          <t>Available after two insurers decline; liability, PIP and UM/UIM only; no collision, comprehensive or higher limits; cheaper policy must be offered after 3 clean years</t>
        </is>
      </c>
      <c r="D15" s="41" t="inlineStr">
        <is>
          <t>TDI guide</t>
        </is>
      </c>
      <c r="E15" s="41" t="inlineStr">
        <is>
          <t>Texas Dept of Insurance - Auto insurance guide (CB020)</t>
        </is>
      </c>
      <c r="F15" s="42" t="inlineStr">
        <is>
          <t>https://www.tdi.texas.gov/pubs/consumer/cb020.html</t>
        </is>
      </c>
      <c r="G15" s="43" t="n">
        <v>46295</v>
      </c>
      <c r="H15" s="41" t="inlineStr">
        <is>
          <t>Texas</t>
        </is>
      </c>
      <c r="I15" s="41" t="inlineStr">
        <is>
          <t>Regulator-published</t>
        </is>
      </c>
      <c r="J15" s="44" t="inlineStr">
        <is>
          <t>Primary source</t>
        </is>
      </c>
      <c r="K15" s="43" t="n">
        <v>46295</v>
      </c>
      <c r="L15" s="41" t="n"/>
    </row>
    <row r="16" ht="35.05" customHeight="1" s="29">
      <c r="A16" s="41" t="inlineStr">
        <is>
          <t>Claims</t>
        </is>
      </c>
      <c r="B16" s="41" t="inlineStr">
        <is>
          <t>Deadlines</t>
        </is>
      </c>
      <c r="C16" s="41" t="inlineStr">
        <is>
          <t>Acknowledge within 15 days; accept or reject within 15 business days of receiving information (45 days if more time needed); pay within 5 business days of agreeing</t>
        </is>
      </c>
      <c r="D16" s="41" t="inlineStr">
        <is>
          <t>TDI guide</t>
        </is>
      </c>
      <c r="E16" s="41" t="inlineStr">
        <is>
          <t>Texas Dept of Insurance - Auto insurance guide (CB020)</t>
        </is>
      </c>
      <c r="F16" s="42" t="inlineStr">
        <is>
          <t>https://www.tdi.texas.gov/pubs/consumer/cb020.html</t>
        </is>
      </c>
      <c r="G16" s="43" t="n">
        <v>46295</v>
      </c>
      <c r="H16" s="41" t="inlineStr">
        <is>
          <t>Texas</t>
        </is>
      </c>
      <c r="I16" s="41" t="inlineStr">
        <is>
          <t>Regulator-published</t>
        </is>
      </c>
      <c r="J16" s="44" t="inlineStr">
        <is>
          <t>Primary source</t>
        </is>
      </c>
      <c r="K16" s="43" t="n">
        <v>46295</v>
      </c>
      <c r="L16" s="41" t="inlineStr">
        <is>
          <t>Prompt-pay rules do not apply when another driver's insurer pays.</t>
        </is>
      </c>
    </row>
    <row r="17" ht="23.85" customHeight="1" s="29">
      <c r="A17" s="41" t="inlineStr">
        <is>
          <t>Claims</t>
        </is>
      </c>
      <c r="B17" s="41" t="inlineStr">
        <is>
          <t>Settlement basis</t>
        </is>
      </c>
      <c r="C17" s="41" t="inlineStr">
        <is>
          <t>Actual cash value; parts of like kind and quality; insurer cannot require preferred shops</t>
        </is>
      </c>
      <c r="D17" s="41" t="inlineStr">
        <is>
          <t>TDI guide</t>
        </is>
      </c>
      <c r="E17" s="41" t="inlineStr">
        <is>
          <t>Texas Dept of Insurance - Auto insurance guide (CB020)</t>
        </is>
      </c>
      <c r="F17" s="42" t="inlineStr">
        <is>
          <t>https://www.tdi.texas.gov/pubs/consumer/cb020.html</t>
        </is>
      </c>
      <c r="G17" s="43" t="n">
        <v>46295</v>
      </c>
      <c r="H17" s="41" t="inlineStr">
        <is>
          <t>Texas</t>
        </is>
      </c>
      <c r="I17" s="41" t="inlineStr">
        <is>
          <t>Regulator-published</t>
        </is>
      </c>
      <c r="J17" s="44" t="inlineStr">
        <is>
          <t>Primary source</t>
        </is>
      </c>
      <c r="K17" s="43" t="n">
        <v>46295</v>
      </c>
      <c r="L17" s="41" t="n"/>
    </row>
    <row r="18" ht="23.85" customHeight="1" s="29">
      <c r="A18" s="41" t="inlineStr">
        <is>
          <t>Claims</t>
        </is>
      </c>
      <c r="B18" s="41" t="inlineStr">
        <is>
          <t>Disputes</t>
        </is>
      </c>
      <c r="C18" s="41" t="inlineStr">
        <is>
          <t>Appraisal, TDI complaint (in writing), or court (Justice Court for claims under $10,000)</t>
        </is>
      </c>
      <c r="D18" s="41" t="inlineStr">
        <is>
          <t>TDI guide</t>
        </is>
      </c>
      <c r="E18" s="41" t="inlineStr">
        <is>
          <t>Texas Dept of Insurance - Auto insurance guide (CB020)</t>
        </is>
      </c>
      <c r="F18" s="42" t="inlineStr">
        <is>
          <t>https://www.tdi.texas.gov/pubs/consumer/cb020.html</t>
        </is>
      </c>
      <c r="G18" s="43" t="n">
        <v>46295</v>
      </c>
      <c r="H18" s="41" t="inlineStr">
        <is>
          <t>Texas</t>
        </is>
      </c>
      <c r="I18" s="41" t="inlineStr">
        <is>
          <t>Regulator-published</t>
        </is>
      </c>
      <c r="J18" s="44" t="inlineStr">
        <is>
          <t>Primary source</t>
        </is>
      </c>
      <c r="K18" s="43" t="n">
        <v>46295</v>
      </c>
      <c r="L18" s="41" t="n"/>
    </row>
    <row r="19" ht="23.85" customHeight="1" s="29">
      <c r="A19" s="41" t="inlineStr">
        <is>
          <t>Consumer rights</t>
        </is>
      </c>
      <c r="B19" s="41" t="inlineStr">
        <is>
          <t>Auto Consumer Bill of Rights</t>
        </is>
      </c>
      <c r="C19" s="41" t="inlineStr">
        <is>
          <t>Insurer must give a copy when you get or renew a policy</t>
        </is>
      </c>
      <c r="D19" s="41" t="inlineStr">
        <is>
          <t>TDI guide</t>
        </is>
      </c>
      <c r="E19" s="41" t="inlineStr">
        <is>
          <t>Texas Dept of Insurance - Auto insurance guide (CB020)</t>
        </is>
      </c>
      <c r="F19" s="42" t="inlineStr">
        <is>
          <t>https://www.tdi.texas.gov/pubs/consumer/cb020.html</t>
        </is>
      </c>
      <c r="G19" s="43" t="n">
        <v>46295</v>
      </c>
      <c r="H19" s="41" t="inlineStr">
        <is>
          <t>Texas</t>
        </is>
      </c>
      <c r="I19" s="41" t="inlineStr">
        <is>
          <t>Regulator-published</t>
        </is>
      </c>
      <c r="J19" s="44" t="inlineStr">
        <is>
          <t>Primary source</t>
        </is>
      </c>
      <c r="K19" s="43" t="n">
        <v>46295</v>
      </c>
      <c r="L19" s="41" t="n"/>
    </row>
  </sheetData>
  <autoFilter ref="A1:L19"/>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www.tdi.texas.gov/pubs/consumer/cb020.html" r:id="rId1"/>
    <hyperlink xmlns:r="http://schemas.openxmlformats.org/officeDocument/2006/relationships" ref="F3" display="https://www.tdi.texas.gov/pubs/consumer/cb020.html" r:id="rId2"/>
    <hyperlink xmlns:r="http://schemas.openxmlformats.org/officeDocument/2006/relationships" ref="F4" display="https://www.ashmorelaw.com/blog/car-insurance-do-you-have-enough-.cfm" r:id="rId3"/>
    <hyperlink xmlns:r="http://schemas.openxmlformats.org/officeDocument/2006/relationships" ref="F5" display="https://www.tdi.texas.gov/pubs/consumer/cb020.html" r:id="rId4"/>
    <hyperlink xmlns:r="http://schemas.openxmlformats.org/officeDocument/2006/relationships" ref="F6" display="https://www.tdi.texas.gov/pubs/consumer/cb020.html" r:id="rId5"/>
    <hyperlink xmlns:r="http://schemas.openxmlformats.org/officeDocument/2006/relationships" ref="F7" display="https://www.tdi.texas.gov/pubs/consumer/cb020.html" r:id="rId6"/>
    <hyperlink xmlns:r="http://schemas.openxmlformats.org/officeDocument/2006/relationships" ref="F8" display="https://www.tdi.texas.gov/pubs/consumer/cb020.html" r:id="rId7"/>
    <hyperlink xmlns:r="http://schemas.openxmlformats.org/officeDocument/2006/relationships" ref="F9" display="https://www.tdi.texas.gov/pubs/consumer/cb020.html" r:id="rId8"/>
    <hyperlink xmlns:r="http://schemas.openxmlformats.org/officeDocument/2006/relationships" ref="F10" display="https://www.tdi.texas.gov/pubs/consumer/cb020.html" r:id="rId9"/>
    <hyperlink xmlns:r="http://schemas.openxmlformats.org/officeDocument/2006/relationships" ref="F11" display="https://www.tdi.texas.gov/pubs/consumer/cb020.html" r:id="rId10"/>
    <hyperlink xmlns:r="http://schemas.openxmlformats.org/officeDocument/2006/relationships" ref="F12" display="https://www.tdi.texas.gov/pubs/consumer/cb020.html" r:id="rId11"/>
    <hyperlink xmlns:r="http://schemas.openxmlformats.org/officeDocument/2006/relationships" ref="F13" display="https://www.tdi.texas.gov/pubs/consumer/cb020.html" r:id="rId12"/>
    <hyperlink xmlns:r="http://schemas.openxmlformats.org/officeDocument/2006/relationships" ref="F14" display="https://www.tdi.texas.gov/pubs/consumer/cb020.html" r:id="rId13"/>
    <hyperlink xmlns:r="http://schemas.openxmlformats.org/officeDocument/2006/relationships" ref="F15" display="https://www.tdi.texas.gov/pubs/consumer/cb020.html" r:id="rId14"/>
    <hyperlink xmlns:r="http://schemas.openxmlformats.org/officeDocument/2006/relationships" ref="F16" display="https://www.tdi.texas.gov/pubs/consumer/cb020.html" r:id="rId15"/>
    <hyperlink xmlns:r="http://schemas.openxmlformats.org/officeDocument/2006/relationships" ref="F17" display="https://www.tdi.texas.gov/pubs/consumer/cb020.html" r:id="rId16"/>
    <hyperlink xmlns:r="http://schemas.openxmlformats.org/officeDocument/2006/relationships" ref="F18" display="https://www.tdi.texas.gov/pubs/consumer/cb020.html" r:id="rId17"/>
    <hyperlink xmlns:r="http://schemas.openxmlformats.org/officeDocument/2006/relationships" ref="F19" display="https://www.tdi.texas.gov/pubs/consumer/cb020.html" r:id="rId1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1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8" customWidth="1" style="28" min="1" max="1"/>
    <col width="34" customWidth="1" style="28" min="2" max="2"/>
    <col width="60" customWidth="1" style="28" min="3" max="3"/>
    <col width="34" customWidth="1" style="28" min="4" max="4"/>
    <col width="42" customWidth="1" style="28" min="5" max="5"/>
    <col width="52" customWidth="1" style="28" min="6" max="6"/>
    <col width="12" customWidth="1" style="28" min="7" max="7"/>
    <col width="20" customWidth="1" style="28" min="8" max="8"/>
    <col width="24" customWidth="1" style="28" min="9" max="9"/>
    <col width="18" customWidth="1" style="28" min="10" max="10"/>
    <col width="12" customWidth="1" style="28" min="11" max="11"/>
    <col width="50" customWidth="1" style="28" min="12" max="12"/>
  </cols>
  <sheetData>
    <row r="1" ht="31.5" customHeight="1" s="29">
      <c r="A1" s="40" t="inlineStr">
        <is>
          <t>Topic</t>
        </is>
      </c>
      <c r="B1" s="40" t="inlineStr">
        <is>
          <t>Fact</t>
        </is>
      </c>
      <c r="C1" s="40" t="inlineStr">
        <is>
          <t>Value</t>
        </is>
      </c>
      <c r="D1" s="40" t="inlineStr">
        <is>
          <t>Legal Citation</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23.85" customHeight="1" s="29">
      <c r="A2" s="41" t="inlineStr">
        <is>
          <t>Requirement</t>
        </is>
      </c>
      <c r="B2" s="41" t="inlineStr">
        <is>
          <t>Coverage required to register</t>
        </is>
      </c>
      <c r="C2" s="41" t="inlineStr">
        <is>
          <t>PIP $10,000 and property damage liability $10,000 for vehicles with at least four wheels</t>
        </is>
      </c>
      <c r="D2" s="41" t="inlineStr">
        <is>
          <t>FLHSMV; s. 627.736 and 324.022 per secondary sources</t>
        </is>
      </c>
      <c r="E2" s="41" t="inlineStr">
        <is>
          <t>Florida DHSMV - Florida Insurance Requirements</t>
        </is>
      </c>
      <c r="F2" s="42" t="inlineStr">
        <is>
          <t>https://www.flhsmv.gov/insurance/</t>
        </is>
      </c>
      <c r="G2" s="43" t="n">
        <v>46295</v>
      </c>
      <c r="H2" s="41" t="inlineStr">
        <is>
          <t>Florida</t>
        </is>
      </c>
      <c r="I2" s="41" t="inlineStr">
        <is>
          <t>Regulator-published</t>
        </is>
      </c>
      <c r="J2" s="44" t="inlineStr">
        <is>
          <t>Primary source</t>
        </is>
      </c>
      <c r="K2" s="43" t="n">
        <v>46295</v>
      </c>
      <c r="L2" s="41" t="n"/>
    </row>
    <row r="3" ht="23.85" customHeight="1" s="29">
      <c r="A3" s="41" t="inlineStr">
        <is>
          <t>Requirement</t>
        </is>
      </c>
      <c r="B3" s="41" t="inlineStr">
        <is>
          <t>PIP benefit</t>
        </is>
      </c>
      <c r="C3" s="41" t="inlineStr">
        <is>
          <t>Pays 80% of necessary and reasonable medical expenses up to $10,000, regardless of fault</t>
        </is>
      </c>
      <c r="D3" s="41" t="inlineStr">
        <is>
          <t>FLHSMV</t>
        </is>
      </c>
      <c r="E3" s="41" t="inlineStr">
        <is>
          <t>Florida DHSMV - Florida Insurance Requirements</t>
        </is>
      </c>
      <c r="F3" s="42" t="inlineStr">
        <is>
          <t>https://www.flhsmv.gov/insurance/</t>
        </is>
      </c>
      <c r="G3" s="43" t="n">
        <v>46295</v>
      </c>
      <c r="H3" s="41" t="inlineStr">
        <is>
          <t>Florida</t>
        </is>
      </c>
      <c r="I3" s="41" t="inlineStr">
        <is>
          <t>Regulator-published</t>
        </is>
      </c>
      <c r="J3" s="44" t="inlineStr">
        <is>
          <t>Primary source</t>
        </is>
      </c>
      <c r="K3" s="43" t="n">
        <v>46295</v>
      </c>
      <c r="L3" s="41" t="n"/>
    </row>
    <row r="4" ht="23.85" customHeight="1" s="29">
      <c r="A4" s="41" t="inlineStr">
        <is>
          <t>Requirement</t>
        </is>
      </c>
      <c r="B4" s="41" t="inlineStr">
        <is>
          <t>Bodily injury liability</t>
        </is>
      </c>
      <c r="C4" s="41" t="inlineStr">
        <is>
          <t>Not required for most private passenger vehicles; taxis must carry $125,000/$250,000/$50,000</t>
        </is>
      </c>
      <c r="D4" s="41" t="inlineStr">
        <is>
          <t>FLHSMV</t>
        </is>
      </c>
      <c r="E4" s="41" t="inlineStr">
        <is>
          <t>Florida DHSMV - Florida Insurance Requirements</t>
        </is>
      </c>
      <c r="F4" s="42" t="inlineStr">
        <is>
          <t>https://www.flhsmv.gov/insurance/</t>
        </is>
      </c>
      <c r="G4" s="43" t="n">
        <v>46295</v>
      </c>
      <c r="H4" s="41" t="inlineStr">
        <is>
          <t>Florida</t>
        </is>
      </c>
      <c r="I4" s="41" t="inlineStr">
        <is>
          <t>Regulator-published</t>
        </is>
      </c>
      <c r="J4" s="44" t="inlineStr">
        <is>
          <t>Primary source</t>
        </is>
      </c>
      <c r="K4" s="43" t="n">
        <v>46295</v>
      </c>
      <c r="L4" s="41" t="n"/>
    </row>
    <row r="5" ht="23.85" customHeight="1" s="29">
      <c r="A5" s="41" t="inlineStr">
        <is>
          <t>Requirement</t>
        </is>
      </c>
      <c r="B5" s="41" t="inlineStr">
        <is>
          <t>Continuous coverage</t>
        </is>
      </c>
      <c r="C5" s="41" t="inlineStr">
        <is>
          <t>Required even if the vehicle is not driven; surrender the plate before cancelling insurance</t>
        </is>
      </c>
      <c r="D5" s="41" t="inlineStr">
        <is>
          <t>FLHSMV</t>
        </is>
      </c>
      <c r="E5" s="41" t="inlineStr">
        <is>
          <t>Florida DHSMV - Florida Insurance Requirements</t>
        </is>
      </c>
      <c r="F5" s="42" t="inlineStr">
        <is>
          <t>https://www.flhsmv.gov/insurance/</t>
        </is>
      </c>
      <c r="G5" s="43" t="n">
        <v>46295</v>
      </c>
      <c r="H5" s="41" t="inlineStr">
        <is>
          <t>Florida</t>
        </is>
      </c>
      <c r="I5" s="41" t="inlineStr">
        <is>
          <t>Regulator-published</t>
        </is>
      </c>
      <c r="J5" s="44" t="inlineStr">
        <is>
          <t>Primary source</t>
        </is>
      </c>
      <c r="K5" s="43" t="n">
        <v>46295</v>
      </c>
      <c r="L5" s="41" t="n"/>
    </row>
    <row r="6" ht="23.85" customHeight="1" s="29">
      <c r="A6" s="41" t="inlineStr">
        <is>
          <t>Penalties</t>
        </is>
      </c>
      <c r="B6" s="41" t="inlineStr">
        <is>
          <t>Lapse consequences</t>
        </is>
      </c>
      <c r="C6" s="41" t="inlineStr">
        <is>
          <t>Driving privilege and plate can be suspended up to 3 years; reinstatement fee up to $500; no hardship license</t>
        </is>
      </c>
      <c r="D6" s="41" t="inlineStr">
        <is>
          <t>FLHSMV</t>
        </is>
      </c>
      <c r="E6" s="41" t="inlineStr">
        <is>
          <t>Florida DHSMV - Florida Insurance Requirements</t>
        </is>
      </c>
      <c r="F6" s="42" t="inlineStr">
        <is>
          <t>https://www.flhsmv.gov/insurance/</t>
        </is>
      </c>
      <c r="G6" s="43" t="n">
        <v>46295</v>
      </c>
      <c r="H6" s="41" t="inlineStr">
        <is>
          <t>Florida</t>
        </is>
      </c>
      <c r="I6" s="41" t="inlineStr">
        <is>
          <t>Regulator-published</t>
        </is>
      </c>
      <c r="J6" s="44" t="inlineStr">
        <is>
          <t>Primary source</t>
        </is>
      </c>
      <c r="K6" s="43" t="n">
        <v>46295</v>
      </c>
      <c r="L6" s="41" t="n"/>
    </row>
    <row r="7" ht="23.85" customHeight="1" s="29">
      <c r="A7" s="41" t="inlineStr">
        <is>
          <t>Financial responsibility</t>
        </is>
      </c>
      <c r="B7" s="41" t="inlineStr">
        <is>
          <t>After a crash</t>
        </is>
      </c>
      <c r="C7" s="41" t="inlineStr">
        <is>
          <t>Proof of ability to pay damages: $10,000 for one person, $20,000 for two or more (bodily injury), plus property damage</t>
        </is>
      </c>
      <c r="D7" s="41" t="inlineStr">
        <is>
          <t>Ch. 324 (2022 text)</t>
        </is>
      </c>
      <c r="E7" s="41" t="inlineStr">
        <is>
          <t>Florida Statutes Chapter 324 - Financial Responsibility (2022 text)</t>
        </is>
      </c>
      <c r="F7" s="42" t="inlineStr">
        <is>
          <t>https://www.flsenate.gov/Laws/Statutes/2022/Chapter324/All</t>
        </is>
      </c>
      <c r="G7" s="43" t="n">
        <v>46295</v>
      </c>
      <c r="H7" s="41" t="inlineStr">
        <is>
          <t>Florida</t>
        </is>
      </c>
      <c r="I7" s="41" t="inlineStr">
        <is>
          <t>Statute / regulation text</t>
        </is>
      </c>
      <c r="J7" s="44" t="inlineStr">
        <is>
          <t>Primary source</t>
        </is>
      </c>
      <c r="K7" s="43" t="n">
        <v>46295</v>
      </c>
      <c r="L7" s="41" t="inlineStr">
        <is>
          <t>Confirm current text; SR-22 is the filing that certifies BIL and PDL after a suspension (FLHSMV).</t>
        </is>
      </c>
    </row>
    <row r="8" ht="23.85" customHeight="1" s="29">
      <c r="A8" s="41" t="inlineStr">
        <is>
          <t>Financial responsibility</t>
        </is>
      </c>
      <c r="B8" s="41" t="inlineStr">
        <is>
          <t>DUI convictions</t>
        </is>
      </c>
      <c r="C8" s="41" t="inlineStr">
        <is>
          <t>BI liability of $100,000/$300,000 and $50,000 PD required</t>
        </is>
      </c>
      <c r="D8" s="41" t="inlineStr">
        <is>
          <t>s. 324.023 (per law-firm sources)</t>
        </is>
      </c>
      <c r="E8" s="41" t="inlineStr">
        <is>
          <t>Viles &amp; Beckman - Did Florida repeal no-fault? (Jul 2026)</t>
        </is>
      </c>
      <c r="F8" s="42" t="inlineStr">
        <is>
          <t>https://www.vilesandbeckman.com/blog/did-florida-repeal-no-fault-insurance-the-pip-myths-and-the-facts-for-2026/</t>
        </is>
      </c>
      <c r="G8" s="43" t="n">
        <v>46295</v>
      </c>
      <c r="H8" s="41" t="inlineStr">
        <is>
          <t>Florida</t>
        </is>
      </c>
      <c r="I8" s="41" t="inlineStr">
        <is>
          <t>Reference data (secondary source)</t>
        </is>
      </c>
      <c r="J8" s="45" t="inlineStr">
        <is>
          <t>Secondary - unverified</t>
        </is>
      </c>
      <c r="K8" s="43" t="n">
        <v>46295</v>
      </c>
      <c r="L8" s="41" t="inlineStr">
        <is>
          <t>Not confirmed from statute text.</t>
        </is>
      </c>
    </row>
    <row r="9" ht="23.85" customHeight="1" s="29">
      <c r="A9" s="41" t="inlineStr">
        <is>
          <t>No-fault</t>
        </is>
      </c>
      <c r="B9" s="41" t="inlineStr">
        <is>
          <t>Serious-injury threshold, 14-day rule, 60% wage loss, $5,000 death benefit</t>
        </is>
      </c>
      <c r="C9" s="41" t="inlineStr">
        <is>
          <t>Reported by law firms; PIP requires treatment within 14 days; lawsuits for pain and suffering require a defined serious injury</t>
        </is>
      </c>
      <c r="D9" s="41" t="inlineStr">
        <is>
          <t>s. 627.736, 627.737 (per law-firm sources)</t>
        </is>
      </c>
      <c r="E9" s="41" t="inlineStr">
        <is>
          <t>Viles &amp; Beckman - Did Florida repeal no-fault? (Jul 2026)</t>
        </is>
      </c>
      <c r="F9" s="42" t="inlineStr">
        <is>
          <t>https://www.vilesandbeckman.com/blog/did-florida-repeal-no-fault-insurance-the-pip-myths-and-the-facts-for-2026/</t>
        </is>
      </c>
      <c r="G9" s="43" t="n">
        <v>46295</v>
      </c>
      <c r="H9" s="41" t="inlineStr">
        <is>
          <t>Florida</t>
        </is>
      </c>
      <c r="I9" s="41" t="inlineStr">
        <is>
          <t>Reference data (secondary source)</t>
        </is>
      </c>
      <c r="J9" s="45" t="inlineStr">
        <is>
          <t>Secondary - unverified</t>
        </is>
      </c>
      <c r="K9" s="43" t="n">
        <v>46295</v>
      </c>
      <c r="L9" s="41" t="inlineStr">
        <is>
          <t>Read the statute before publishing.</t>
        </is>
      </c>
    </row>
    <row r="10" ht="23.85" customHeight="1" s="29">
      <c r="A10" s="41" t="inlineStr">
        <is>
          <t>Legislation</t>
        </is>
      </c>
      <c r="B10" s="41" t="inlineStr">
        <is>
          <t>PIP repeal</t>
        </is>
      </c>
      <c r="C10" s="41" t="inlineStr">
        <is>
          <t>SB 522 and HB 769 died in committee on Mar 13, 2026; PIP remains required</t>
        </is>
      </c>
      <c r="D10" s="41" t="inlineStr">
        <is>
          <t>Florida Legislature (per law-firm sources)</t>
        </is>
      </c>
      <c r="E10" s="41" t="inlineStr">
        <is>
          <t>Viles &amp; Beckman - Did Florida repeal no-fault? (Jul 2026)</t>
        </is>
      </c>
      <c r="F10" s="42" t="inlineStr">
        <is>
          <t>https://www.vilesandbeckman.com/blog/did-florida-repeal-no-fault-insurance-the-pip-myths-and-the-facts-for-2026/</t>
        </is>
      </c>
      <c r="G10" s="43" t="n">
        <v>46295</v>
      </c>
      <c r="H10" s="41" t="inlineStr">
        <is>
          <t>Florida</t>
        </is>
      </c>
      <c r="I10" s="41" t="inlineStr">
        <is>
          <t>Reference data (secondary source)</t>
        </is>
      </c>
      <c r="J10" s="45" t="inlineStr">
        <is>
          <t>Secondary - unverified</t>
        </is>
      </c>
      <c r="K10" s="43" t="n">
        <v>46295</v>
      </c>
      <c r="L10" s="41" t="inlineStr">
        <is>
          <t>Next session convenes Mar 2, 2027; verify at flsenate.gov.</t>
        </is>
      </c>
    </row>
    <row r="11" ht="35.05" customHeight="1" s="29">
      <c r="A11" s="41" t="inlineStr">
        <is>
          <t>Policy changes</t>
        </is>
      </c>
      <c r="B11" s="41" t="inlineStr">
        <is>
          <t>Cancellation</t>
        </is>
      </c>
      <c r="C11" s="41" t="inlineStr">
        <is>
          <t>At least 45 days' notice (10 days for nonpayment); notice must explain appeal right to the Office of Insurance Regulation (appeal at least 20 days before effective date)</t>
        </is>
      </c>
      <c r="D11" s="41" t="inlineStr">
        <is>
          <t>s. 627.728</t>
        </is>
      </c>
      <c r="E11" s="41" t="inlineStr">
        <is>
          <t>Florida Statutes 627.728 - Cancellations; nonrenewals (2025, via Justia)</t>
        </is>
      </c>
      <c r="F11" s="42" t="inlineStr">
        <is>
          <t>https://law.justia.com/codes/florida/title-xxxvii/chapter-627/part-xi/section-627-728/</t>
        </is>
      </c>
      <c r="G11" s="43" t="n">
        <v>46295</v>
      </c>
      <c r="H11" s="41" t="inlineStr">
        <is>
          <t>Florida</t>
        </is>
      </c>
      <c r="I11" s="41" t="inlineStr">
        <is>
          <t>Statute / regulation text</t>
        </is>
      </c>
      <c r="J11" s="44" t="inlineStr">
        <is>
          <t>Primary source</t>
        </is>
      </c>
      <c r="K11" s="43" t="n">
        <v>46295</v>
      </c>
      <c r="L11" s="41" t="inlineStr">
        <is>
          <t>Nonrenewal rules for private passenger auto not captured; s. 626.9201 sits in the surplus lines part of the code.</t>
        </is>
      </c>
    </row>
    <row r="12" ht="57.45" customHeight="1" s="29">
      <c r="A12" s="41" t="inlineStr">
        <is>
          <t>Rating</t>
        </is>
      </c>
      <c r="B12" s="41" t="inlineStr">
        <is>
          <t>Credit</t>
        </is>
      </c>
      <c r="C12" s="41" t="inlineStr">
        <is>
          <t>Statute regulates and limits use of credit reports and scores in personal lines motor vehicle and residential insurance; insurer must disclose the request and use DFS-prescribed language; certain inquiries and medical collections may not be used; appeal rights for events such as divorce, spouse's death, temporary job loss</t>
        </is>
      </c>
      <c r="D12" s="41" t="inlineStr">
        <is>
          <t>s. 626.9741</t>
        </is>
      </c>
      <c r="E12" s="41" t="inlineStr">
        <is>
          <t>Florida Statutes 626.9741 - Credit reports and scores by insurers</t>
        </is>
      </c>
      <c r="F12" s="42" t="inlineStr">
        <is>
          <t>https://www.flsenate.gov/Laws/Statutes/2025/0626.9741</t>
        </is>
      </c>
      <c r="G12" s="43" t="n">
        <v>46295</v>
      </c>
      <c r="H12" s="41" t="inlineStr">
        <is>
          <t>Florida</t>
        </is>
      </c>
      <c r="I12" s="41" t="inlineStr">
        <is>
          <t>Statute / regulation text</t>
        </is>
      </c>
      <c r="J12" s="44" t="inlineStr">
        <is>
          <t>Primary source</t>
        </is>
      </c>
      <c r="K12" s="43" t="n">
        <v>46295</v>
      </c>
      <c r="L12" s="41" t="inlineStr">
        <is>
          <t>Seen in snippets and older-year text; fetch was rate-limited. Confirm full text.</t>
        </is>
      </c>
    </row>
    <row r="13" ht="35.05" customHeight="1" s="29">
      <c r="A13" s="41" t="inlineStr">
        <is>
          <t>Discounts</t>
        </is>
      </c>
      <c r="B13" s="41" t="inlineStr">
        <is>
          <t>Statutory discounts</t>
        </is>
      </c>
      <c r="C13" s="41" t="inlineStr">
        <is>
          <t>Sections 627.06501 (driver improvement course, discount up to 10% presumed appropriate), 627.0652 (safety course, 3-year reduction), 627.0653 (specified equipment)</t>
        </is>
      </c>
      <c r="D13" s="41" t="inlineStr">
        <is>
          <t>Fla. Stat. 627.06501, 627.0652, 627.0653</t>
        </is>
      </c>
      <c r="E13" s="41" t="inlineStr">
        <is>
          <t>Florida Statutes Chapter 627 (2025) - table of contents</t>
        </is>
      </c>
      <c r="F13" s="42" t="inlineStr">
        <is>
          <t>https://www.flsenate.gov/Laws/Statutes/2025/Chapter627/All</t>
        </is>
      </c>
      <c r="G13" s="43" t="n">
        <v>46295</v>
      </c>
      <c r="H13" s="41" t="inlineStr">
        <is>
          <t>Florida</t>
        </is>
      </c>
      <c r="I13" s="41" t="inlineStr">
        <is>
          <t>Statute / regulation text</t>
        </is>
      </c>
      <c r="J13" s="45" t="inlineStr">
        <is>
          <t>Secondary - unverified</t>
        </is>
      </c>
      <c r="K13" s="43" t="n">
        <v>46295</v>
      </c>
      <c r="L13" s="41" t="inlineStr">
        <is>
          <t>Section titles confirmed in the 2025 table of contents; course text is from 2003 and 2012 versions.</t>
        </is>
      </c>
    </row>
    <row r="14" ht="23.85" customHeight="1" s="29">
      <c r="A14" s="41" t="inlineStr">
        <is>
          <t>Rates</t>
        </is>
      </c>
      <c r="B14" s="41" t="inlineStr">
        <is>
          <t>Rate filing rules</t>
        </is>
      </c>
      <c r="C14" s="41" t="inlineStr">
        <is>
          <t>Section 627.0651 governs making and use of rates for motor vehicle insurance</t>
        </is>
      </c>
      <c r="D14" s="41" t="inlineStr">
        <is>
          <t>s. 627.0651</t>
        </is>
      </c>
      <c r="E14" s="41" t="inlineStr">
        <is>
          <t>Florida Statutes Chapter 627 (2025) - table of contents</t>
        </is>
      </c>
      <c r="F14" s="42" t="inlineStr">
        <is>
          <t>https://www.flsenate.gov/Laws/Statutes/2025/Chapter627/All</t>
        </is>
      </c>
      <c r="G14" s="43" t="n">
        <v>46295</v>
      </c>
      <c r="H14" s="41" t="inlineStr">
        <is>
          <t>Florida</t>
        </is>
      </c>
      <c r="I14" s="41" t="inlineStr">
        <is>
          <t>Statute / regulation text</t>
        </is>
      </c>
      <c r="J14" s="47" t="inlineStr">
        <is>
          <t>Not researched</t>
        </is>
      </c>
      <c r="K14" s="43" t="n">
        <v>46295</v>
      </c>
      <c r="L14" s="41" t="inlineStr">
        <is>
          <t>Only the title was seen; not researched.</t>
        </is>
      </c>
    </row>
  </sheetData>
  <autoFilter ref="A1:L14"/>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www.flhsmv.gov/insurance/" r:id="rId1"/>
    <hyperlink xmlns:r="http://schemas.openxmlformats.org/officeDocument/2006/relationships" ref="F3" display="https://www.flhsmv.gov/insurance/" r:id="rId2"/>
    <hyperlink xmlns:r="http://schemas.openxmlformats.org/officeDocument/2006/relationships" ref="F4" display="https://www.flhsmv.gov/insurance/" r:id="rId3"/>
    <hyperlink xmlns:r="http://schemas.openxmlformats.org/officeDocument/2006/relationships" ref="F5" display="https://www.flhsmv.gov/insurance/" r:id="rId4"/>
    <hyperlink xmlns:r="http://schemas.openxmlformats.org/officeDocument/2006/relationships" ref="F6" display="https://www.flhsmv.gov/insurance/" r:id="rId5"/>
    <hyperlink xmlns:r="http://schemas.openxmlformats.org/officeDocument/2006/relationships" ref="F7" display="https://www.flsenate.gov/Laws/Statutes/2022/Chapter324/All" r:id="rId6"/>
    <hyperlink xmlns:r="http://schemas.openxmlformats.org/officeDocument/2006/relationships" ref="F8" display="https://www.vilesandbeckman.com/blog/did-florida-repeal-no-fault-insurance-the-pip-myths-and-the-facts-for-2026/" r:id="rId7"/>
    <hyperlink xmlns:r="http://schemas.openxmlformats.org/officeDocument/2006/relationships" ref="F9" display="https://www.vilesandbeckman.com/blog/did-florida-repeal-no-fault-insurance-the-pip-myths-and-the-facts-for-2026/" r:id="rId8"/>
    <hyperlink xmlns:r="http://schemas.openxmlformats.org/officeDocument/2006/relationships" ref="F10" display="https://www.vilesandbeckman.com/blog/did-florida-repeal-no-fault-insurance-the-pip-myths-and-the-facts-for-2026/" r:id="rId9"/>
    <hyperlink xmlns:r="http://schemas.openxmlformats.org/officeDocument/2006/relationships" ref="F11" display="https://law.justia.com/codes/florida/title-xxxvii/chapter-627/part-xi/section-627-728/" r:id="rId10"/>
    <hyperlink xmlns:r="http://schemas.openxmlformats.org/officeDocument/2006/relationships" ref="F12" display="https://www.flsenate.gov/Laws/Statutes/2025/0626.9741" r:id="rId11"/>
    <hyperlink xmlns:r="http://schemas.openxmlformats.org/officeDocument/2006/relationships" ref="F13" display="https://www.flsenate.gov/Laws/Statutes/2025/Chapter627/All" r:id="rId12"/>
    <hyperlink xmlns:r="http://schemas.openxmlformats.org/officeDocument/2006/relationships" ref="F14" display="https://www.flsenate.gov/Laws/Statutes/2025/Chapter627/All" r:id="rId1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L2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8" customWidth="1" style="28" min="1" max="1"/>
    <col width="34" customWidth="1" style="28" min="2" max="2"/>
    <col width="60" customWidth="1" style="28" min="3" max="3"/>
    <col width="34" customWidth="1" style="28" min="4" max="4"/>
    <col width="42" customWidth="1" style="28" min="5" max="5"/>
    <col width="52" customWidth="1" style="28" min="6" max="6"/>
    <col width="12" customWidth="1" style="28" min="7" max="7"/>
    <col width="20" customWidth="1" style="28" min="8" max="8"/>
    <col width="24" customWidth="1" style="28" min="9" max="9"/>
    <col width="18" customWidth="1" style="28" min="10" max="10"/>
    <col width="12" customWidth="1" style="28" min="11" max="11"/>
    <col width="50" customWidth="1" style="28" min="12" max="12"/>
  </cols>
  <sheetData>
    <row r="1" ht="31.5" customHeight="1" s="29">
      <c r="A1" s="40" t="inlineStr">
        <is>
          <t>Topic</t>
        </is>
      </c>
      <c r="B1" s="40" t="inlineStr">
        <is>
          <t>Fact</t>
        </is>
      </c>
      <c r="C1" s="40" t="inlineStr">
        <is>
          <t>Value</t>
        </is>
      </c>
      <c r="D1" s="40" t="inlineStr">
        <is>
          <t>Legal Citation</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23.85" customHeight="1" s="29">
      <c r="A2" s="41" t="inlineStr">
        <is>
          <t>Minimum liability</t>
        </is>
      </c>
      <c r="B2" s="41" t="inlineStr">
        <is>
          <t>Bodily injury</t>
        </is>
      </c>
      <c r="C2" s="41" t="inlineStr">
        <is>
          <t>$25,000 per person (non-death) or $50,000 (death); $50,000 for two or more (non-death) or $100,000 (death)</t>
        </is>
      </c>
      <c r="D2" s="41" t="inlineStr">
        <is>
          <t>NY Vehicle and Traffic Law (per DFS)</t>
        </is>
      </c>
      <c r="E2" s="41" t="inlineStr">
        <is>
          <t>NY Dept of Financial Services - Auto Insurance Information for Consumers</t>
        </is>
      </c>
      <c r="F2" s="42" t="inlineStr">
        <is>
          <t>https://www.dfs.ny.gov/consumers/auto_insurance/Auto_resource_center</t>
        </is>
      </c>
      <c r="G2" s="43" t="n">
        <v>46295</v>
      </c>
      <c r="H2" s="41" t="inlineStr">
        <is>
          <t>New York</t>
        </is>
      </c>
      <c r="I2" s="41" t="inlineStr">
        <is>
          <t>Regulator-published</t>
        </is>
      </c>
      <c r="J2" s="44" t="inlineStr">
        <is>
          <t>Primary source</t>
        </is>
      </c>
      <c r="K2" s="43" t="n">
        <v>46295</v>
      </c>
      <c r="L2" s="41" t="n"/>
    </row>
    <row r="3" ht="23.85" customHeight="1" s="29">
      <c r="A3" s="41" t="inlineStr">
        <is>
          <t>Minimum liability</t>
        </is>
      </c>
      <c r="B3" s="41" t="inlineStr">
        <is>
          <t>Property damage</t>
        </is>
      </c>
      <c r="C3" s="41" t="inlineStr">
        <is>
          <t>$10,000 per accident (25/50/10)</t>
        </is>
      </c>
      <c r="D3" s="41" t="inlineStr">
        <is>
          <t>DFS</t>
        </is>
      </c>
      <c r="E3" s="41" t="inlineStr">
        <is>
          <t>NY Dept of Financial Services - Auto Insurance Information for Consumers</t>
        </is>
      </c>
      <c r="F3" s="42" t="inlineStr">
        <is>
          <t>https://www.dfs.ny.gov/consumers/auto_insurance/Auto_resource_center</t>
        </is>
      </c>
      <c r="G3" s="43" t="n">
        <v>46295</v>
      </c>
      <c r="H3" s="41" t="inlineStr">
        <is>
          <t>New York</t>
        </is>
      </c>
      <c r="I3" s="41" t="inlineStr">
        <is>
          <t>Regulator-published</t>
        </is>
      </c>
      <c r="J3" s="44" t="inlineStr">
        <is>
          <t>Primary source</t>
        </is>
      </c>
      <c r="K3" s="43" t="n">
        <v>46295</v>
      </c>
      <c r="L3" s="41" t="n"/>
    </row>
    <row r="4" ht="35.05" customHeight="1" s="29">
      <c r="A4" s="41" t="inlineStr">
        <is>
          <t>No-fault</t>
        </is>
      </c>
      <c r="B4" s="41" t="inlineStr">
        <is>
          <t>Basic PIP</t>
        </is>
      </c>
      <c r="C4" s="41" t="inlineStr">
        <is>
          <t>$50,000 per person: medical, 80% of lost earnings up to $2,000 a month for up to 3 years, $25 a day for up to a year for other expenses, $2,000 death benefit</t>
        </is>
      </c>
      <c r="D4" s="41" t="inlineStr">
        <is>
          <t>DFS</t>
        </is>
      </c>
      <c r="E4" s="41" t="inlineStr">
        <is>
          <t>NY Dept of Financial Services - Auto Insurance Information for Consumers</t>
        </is>
      </c>
      <c r="F4" s="42" t="inlineStr">
        <is>
          <t>https://www.dfs.ny.gov/consumers/auto_insurance/Auto_resource_center</t>
        </is>
      </c>
      <c r="G4" s="43" t="n">
        <v>46295</v>
      </c>
      <c r="H4" s="41" t="inlineStr">
        <is>
          <t>New York</t>
        </is>
      </c>
      <c r="I4" s="41" t="inlineStr">
        <is>
          <t>Regulator-published</t>
        </is>
      </c>
      <c r="J4" s="44" t="inlineStr">
        <is>
          <t>Primary source</t>
        </is>
      </c>
      <c r="K4" s="43" t="n">
        <v>46295</v>
      </c>
      <c r="L4" s="41" t="n"/>
    </row>
    <row r="5" ht="23.85" customHeight="1" s="29">
      <c r="A5" s="41" t="inlineStr">
        <is>
          <t>No-fault</t>
        </is>
      </c>
      <c r="B5" s="41" t="inlineStr">
        <is>
          <t>Lawsuits</t>
        </is>
      </c>
      <c r="C5" s="41" t="inlineStr">
        <is>
          <t>Non-economic damages only for a 'serious injury' as defined in the Insurance Law</t>
        </is>
      </c>
      <c r="D5" s="41" t="inlineStr">
        <is>
          <t>DFS</t>
        </is>
      </c>
      <c r="E5" s="41" t="inlineStr">
        <is>
          <t>NY Dept of Financial Services - Auto Insurance Information for Consumers</t>
        </is>
      </c>
      <c r="F5" s="42" t="inlineStr">
        <is>
          <t>https://www.dfs.ny.gov/consumers/auto_insurance/Auto_resource_center</t>
        </is>
      </c>
      <c r="G5" s="43" t="n">
        <v>46295</v>
      </c>
      <c r="H5" s="41" t="inlineStr">
        <is>
          <t>New York</t>
        </is>
      </c>
      <c r="I5" s="41" t="inlineStr">
        <is>
          <t>Regulator-published</t>
        </is>
      </c>
      <c r="J5" s="44" t="inlineStr">
        <is>
          <t>Primary source</t>
        </is>
      </c>
      <c r="K5" s="43" t="n">
        <v>46295</v>
      </c>
      <c r="L5" s="41" t="n"/>
    </row>
    <row r="6" ht="23.85" customHeight="1" s="29">
      <c r="A6" s="41" t="inlineStr">
        <is>
          <t>No-fault</t>
        </is>
      </c>
      <c r="B6" s="41" t="inlineStr">
        <is>
          <t>Who is ineligible</t>
        </is>
      </c>
      <c r="C6" s="41" t="inlineStr">
        <is>
          <t>Impaired or intoxicated driver, intentional self-injury, ATV/motorcycle riders, felony, known stolen vehicle, owner of an uninsured vehicle</t>
        </is>
      </c>
      <c r="D6" s="41" t="inlineStr">
        <is>
          <t>DFS</t>
        </is>
      </c>
      <c r="E6" s="41" t="inlineStr">
        <is>
          <t>NY Dept of Financial Services - Auto Insurance Information for Consumers</t>
        </is>
      </c>
      <c r="F6" s="42" t="inlineStr">
        <is>
          <t>https://www.dfs.ny.gov/consumers/auto_insurance/Auto_resource_center</t>
        </is>
      </c>
      <c r="G6" s="43" t="n">
        <v>46295</v>
      </c>
      <c r="H6" s="41" t="inlineStr">
        <is>
          <t>New York</t>
        </is>
      </c>
      <c r="I6" s="41" t="inlineStr">
        <is>
          <t>Regulator-published</t>
        </is>
      </c>
      <c r="J6" s="44" t="inlineStr">
        <is>
          <t>Primary source</t>
        </is>
      </c>
      <c r="K6" s="43" t="n">
        <v>46295</v>
      </c>
      <c r="L6" s="41" t="n"/>
    </row>
    <row r="7" ht="23.85" customHeight="1" s="29">
      <c r="A7" s="41" t="inlineStr">
        <is>
          <t>No-fault</t>
        </is>
      </c>
      <c r="B7" s="41" t="inlineStr">
        <is>
          <t>Claim timing</t>
        </is>
      </c>
      <c r="C7" s="41" t="inlineStr">
        <is>
          <t>Written notice within 30 days; application sent within 5 business days; payment within 30 days; 2% monthly interest if late</t>
        </is>
      </c>
      <c r="D7" s="41" t="inlineStr">
        <is>
          <t>DFS</t>
        </is>
      </c>
      <c r="E7" s="41" t="inlineStr">
        <is>
          <t>NY Dept of Financial Services - Auto Insurance Information for Consumers</t>
        </is>
      </c>
      <c r="F7" s="42" t="inlineStr">
        <is>
          <t>https://www.dfs.ny.gov/consumers/auto_insurance/Auto_resource_center</t>
        </is>
      </c>
      <c r="G7" s="43" t="n">
        <v>46295</v>
      </c>
      <c r="H7" s="41" t="inlineStr">
        <is>
          <t>New York</t>
        </is>
      </c>
      <c r="I7" s="41" t="inlineStr">
        <is>
          <t>Regulator-published</t>
        </is>
      </c>
      <c r="J7" s="44" t="inlineStr">
        <is>
          <t>Primary source</t>
        </is>
      </c>
      <c r="K7" s="43" t="n">
        <v>46295</v>
      </c>
      <c r="L7" s="41" t="n"/>
    </row>
    <row r="8" ht="23.85" customHeight="1" s="29">
      <c r="A8" s="41" t="inlineStr">
        <is>
          <t>Uninsured motorists</t>
        </is>
      </c>
      <c r="B8" s="41" t="inlineStr">
        <is>
          <t>Required UM</t>
        </is>
      </c>
      <c r="C8" s="41" t="inlineStr">
        <is>
          <t>Same minimum bodily injury limits; applies to NY accidents; out-of-state by endorsement</t>
        </is>
      </c>
      <c r="D8" s="41" t="inlineStr">
        <is>
          <t>DFS</t>
        </is>
      </c>
      <c r="E8" s="41" t="inlineStr">
        <is>
          <t>NY Dept of Financial Services - Auto Insurance Information for Consumers</t>
        </is>
      </c>
      <c r="F8" s="42" t="inlineStr">
        <is>
          <t>https://www.dfs.ny.gov/consumers/auto_insurance/Auto_resource_center</t>
        </is>
      </c>
      <c r="G8" s="43" t="n">
        <v>46295</v>
      </c>
      <c r="H8" s="41" t="inlineStr">
        <is>
          <t>New York</t>
        </is>
      </c>
      <c r="I8" s="41" t="inlineStr">
        <is>
          <t>Regulator-published</t>
        </is>
      </c>
      <c r="J8" s="44" t="inlineStr">
        <is>
          <t>Primary source</t>
        </is>
      </c>
      <c r="K8" s="43" t="n">
        <v>46295</v>
      </c>
      <c r="L8" s="41" t="n"/>
    </row>
    <row r="9" ht="35.05" customHeight="1" s="29">
      <c r="A9" s="41" t="inlineStr">
        <is>
          <t>Uninsured motorists</t>
        </is>
      </c>
      <c r="B9" s="41" t="inlineStr">
        <is>
          <t>SUM</t>
        </is>
      </c>
      <c r="C9" s="41" t="inlineStr">
        <is>
          <t>Included at bodily injury limits unless declined by signed waiver; insurer notifies annually; up to BI limits; insurer must offer $250,000/$500,000 if BI is that high</t>
        </is>
      </c>
      <c r="D9" s="41" t="inlineStr">
        <is>
          <t>DFS FAQ</t>
        </is>
      </c>
      <c r="E9" s="41" t="inlineStr">
        <is>
          <t>NY DFS FAQ - How much auto insurance must I carry?</t>
        </is>
      </c>
      <c r="F9" s="42" t="inlineStr">
        <is>
          <t>https://www.dfs.ny.gov/faqs/consumer-auto/how-much-auto-insurance-must-i-carry</t>
        </is>
      </c>
      <c r="G9" s="43" t="n">
        <v>46295</v>
      </c>
      <c r="H9" s="41" t="inlineStr">
        <is>
          <t>New York</t>
        </is>
      </c>
      <c r="I9" s="41" t="inlineStr">
        <is>
          <t>Regulator-published</t>
        </is>
      </c>
      <c r="J9" s="44" t="inlineStr">
        <is>
          <t>Primary source</t>
        </is>
      </c>
      <c r="K9" s="43" t="n">
        <v>46295</v>
      </c>
      <c r="L9" s="41" t="n"/>
    </row>
    <row r="10" ht="23.85" customHeight="1" s="29">
      <c r="A10" s="41" t="inlineStr">
        <is>
          <t>Optional</t>
        </is>
      </c>
      <c r="B10" s="41" t="inlineStr">
        <is>
          <t>Additional PIP, OBEL, spousal liability</t>
        </is>
      </c>
      <c r="C10" s="41" t="inlineStr">
        <is>
          <t>Additional PIP to $100,000+; OBEL adds $25,000; supplemental spousal liability included unless declined</t>
        </is>
      </c>
      <c r="D10" s="41" t="inlineStr">
        <is>
          <t>DFS</t>
        </is>
      </c>
      <c r="E10" s="41" t="inlineStr">
        <is>
          <t>NY Dept of Financial Services - Auto Insurance Information for Consumers</t>
        </is>
      </c>
      <c r="F10" s="42" t="inlineStr">
        <is>
          <t>https://www.dfs.ny.gov/consumers/auto_insurance/Auto_resource_center</t>
        </is>
      </c>
      <c r="G10" s="43" t="n">
        <v>46295</v>
      </c>
      <c r="H10" s="41" t="inlineStr">
        <is>
          <t>New York</t>
        </is>
      </c>
      <c r="I10" s="41" t="inlineStr">
        <is>
          <t>Regulator-published</t>
        </is>
      </c>
      <c r="J10" s="44" t="inlineStr">
        <is>
          <t>Primary source</t>
        </is>
      </c>
      <c r="K10" s="43" t="n">
        <v>46295</v>
      </c>
      <c r="L10" s="41" t="n"/>
    </row>
    <row r="11" ht="23.85" customHeight="1" s="29">
      <c r="A11" s="41" t="inlineStr">
        <is>
          <t>Enforcement</t>
        </is>
      </c>
      <c r="B11" s="41" t="inlineStr">
        <is>
          <t>DMV tracking</t>
        </is>
      </c>
      <c r="C11" s="41" t="inlineStr">
        <is>
          <t>Insurers report starts, renewals and cancellations; lapses can suspend registration and license</t>
        </is>
      </c>
      <c r="D11" s="41" t="inlineStr">
        <is>
          <t>DFS (IIES)</t>
        </is>
      </c>
      <c r="E11" s="41" t="inlineStr">
        <is>
          <t>NY Dept of Financial Services - Auto Insurance Information for Consumers</t>
        </is>
      </c>
      <c r="F11" s="42" t="inlineStr">
        <is>
          <t>https://www.dfs.ny.gov/consumers/auto_insurance/Auto_resource_center</t>
        </is>
      </c>
      <c r="G11" s="43" t="n">
        <v>46295</v>
      </c>
      <c r="H11" s="41" t="inlineStr">
        <is>
          <t>New York</t>
        </is>
      </c>
      <c r="I11" s="41" t="inlineStr">
        <is>
          <t>Regulator-published</t>
        </is>
      </c>
      <c r="J11" s="44" t="inlineStr">
        <is>
          <t>Primary source</t>
        </is>
      </c>
      <c r="K11" s="43" t="n">
        <v>46295</v>
      </c>
      <c r="L11" s="41" t="n"/>
    </row>
    <row r="12" ht="23.85" customHeight="1" s="29">
      <c r="A12" s="41" t="inlineStr">
        <is>
          <t>Rating</t>
        </is>
      </c>
      <c r="B12" s="41" t="inlineStr">
        <is>
          <t>Classifications</t>
        </is>
      </c>
      <c r="C12" s="41" t="inlineStr">
        <is>
          <t>Age, sex, marital status, territory, annual mileage, vehicle use and driving experience; inexperienced-operator surcharge if licensed under 3 years</t>
        </is>
      </c>
      <c r="D12" s="41" t="inlineStr">
        <is>
          <t>DFS</t>
        </is>
      </c>
      <c r="E12" s="41" t="inlineStr">
        <is>
          <t>NY Dept of Financial Services - Auto Insurance Information for Consumers</t>
        </is>
      </c>
      <c r="F12" s="42" t="inlineStr">
        <is>
          <t>https://www.dfs.ny.gov/consumers/auto_insurance/Auto_resource_center</t>
        </is>
      </c>
      <c r="G12" s="43" t="n">
        <v>46295</v>
      </c>
      <c r="H12" s="41" t="inlineStr">
        <is>
          <t>New York</t>
        </is>
      </c>
      <c r="I12" s="41" t="inlineStr">
        <is>
          <t>Regulator-published</t>
        </is>
      </c>
      <c r="J12" s="44" t="inlineStr">
        <is>
          <t>Primary source</t>
        </is>
      </c>
      <c r="K12" s="43" t="n">
        <v>46295</v>
      </c>
      <c r="L12" s="41" t="n"/>
    </row>
    <row r="13" ht="35.05" customHeight="1" s="29">
      <c r="A13" s="41" t="inlineStr">
        <is>
          <t>Rating</t>
        </is>
      </c>
      <c r="B13" s="41" t="inlineStr">
        <is>
          <t>Discrimination limits</t>
        </is>
      </c>
      <c r="C13" s="41" t="inlineStr">
        <is>
          <t>Insurance Law forbids refusing or terminating a policy because of race, creed, color, national origin, disability, sex, marital status or advanced age; cannot reject solely for geography; 39-month no-vehicle rule</t>
        </is>
      </c>
      <c r="D13" s="41" t="inlineStr">
        <is>
          <t>DFS</t>
        </is>
      </c>
      <c r="E13" s="41" t="inlineStr">
        <is>
          <t>NY Dept of Financial Services - Auto Insurance Information for Consumers</t>
        </is>
      </c>
      <c r="F13" s="42" t="inlineStr">
        <is>
          <t>https://www.dfs.ny.gov/consumers/auto_insurance/Auto_resource_center</t>
        </is>
      </c>
      <c r="G13" s="43" t="n">
        <v>46295</v>
      </c>
      <c r="H13" s="41" t="inlineStr">
        <is>
          <t>New York</t>
        </is>
      </c>
      <c r="I13" s="41" t="inlineStr">
        <is>
          <t>Regulator-published</t>
        </is>
      </c>
      <c r="J13" s="44" t="inlineStr">
        <is>
          <t>Primary source</t>
        </is>
      </c>
      <c r="K13" s="43" t="n">
        <v>46295</v>
      </c>
      <c r="L13" s="41" t="inlineStr">
        <is>
          <t>Reconcile with the classification list: rating classes are allowed, refusal or termination on these grounds is not.</t>
        </is>
      </c>
    </row>
    <row r="14" ht="35.05" customHeight="1" s="29">
      <c r="A14" s="41" t="inlineStr">
        <is>
          <t>Rating</t>
        </is>
      </c>
      <c r="B14" s="41" t="inlineStr">
        <is>
          <t>Credit</t>
        </is>
      </c>
      <c r="C14" s="41" t="inlineStr">
        <is>
          <t>May be used but not as sole basis for rejection; insurer must disclose use and notify of higher premium; review at least every 3 years; may not terminate or raise renewal premium based on credit</t>
        </is>
      </c>
      <c r="D14" s="41" t="inlineStr">
        <is>
          <t>DFS</t>
        </is>
      </c>
      <c r="E14" s="41" t="inlineStr">
        <is>
          <t>NY Dept of Financial Services - Auto Insurance Information for Consumers</t>
        </is>
      </c>
      <c r="F14" s="42" t="inlineStr">
        <is>
          <t>https://www.dfs.ny.gov/consumers/auto_insurance/Auto_resource_center</t>
        </is>
      </c>
      <c r="G14" s="43" t="n">
        <v>46295</v>
      </c>
      <c r="H14" s="41" t="inlineStr">
        <is>
          <t>New York</t>
        </is>
      </c>
      <c r="I14" s="41" t="inlineStr">
        <is>
          <t>Regulator-published</t>
        </is>
      </c>
      <c r="J14" s="44" t="inlineStr">
        <is>
          <t>Primary source</t>
        </is>
      </c>
      <c r="K14" s="43" t="n">
        <v>46295</v>
      </c>
      <c r="L14" s="41" t="n"/>
    </row>
    <row r="15" ht="35.05" customHeight="1" s="29">
      <c r="A15" s="41" t="inlineStr">
        <is>
          <t>Rating</t>
        </is>
      </c>
      <c r="B15" s="41" t="inlineStr">
        <is>
          <t>Surcharges</t>
        </is>
      </c>
      <c r="C15" s="41" t="inlineStr">
        <is>
          <t>First at-fault accident can add up to 40% under many plans; typical 3-year period; specified exceptions; total capped at 3 times base premium; applies only to liability, no-fault and collision</t>
        </is>
      </c>
      <c r="D15" s="41" t="inlineStr">
        <is>
          <t>DFS</t>
        </is>
      </c>
      <c r="E15" s="41" t="inlineStr">
        <is>
          <t>NY Dept of Financial Services - Auto Insurance Information for Consumers</t>
        </is>
      </c>
      <c r="F15" s="42" t="inlineStr">
        <is>
          <t>https://www.dfs.ny.gov/consumers/auto_insurance/Auto_resource_center</t>
        </is>
      </c>
      <c r="G15" s="43" t="n">
        <v>46295</v>
      </c>
      <c r="H15" s="41" t="inlineStr">
        <is>
          <t>New York</t>
        </is>
      </c>
      <c r="I15" s="41" t="inlineStr">
        <is>
          <t>Regulator-published</t>
        </is>
      </c>
      <c r="J15" s="44" t="inlineStr">
        <is>
          <t>Primary source</t>
        </is>
      </c>
      <c r="K15" s="43" t="n">
        <v>46295</v>
      </c>
      <c r="L15" s="41" t="n"/>
    </row>
    <row r="16" ht="23.85" customHeight="1" s="29">
      <c r="A16" s="41" t="inlineStr">
        <is>
          <t>Discounts</t>
        </is>
      </c>
      <c r="B16" s="41" t="inlineStr">
        <is>
          <t>Accident prevention course</t>
        </is>
      </c>
      <c r="C16" s="41" t="inlineStr">
        <is>
          <t>Insurers must apply a discount to liability, collision and no-fault for 3 years; up to 4 points removed from license record</t>
        </is>
      </c>
      <c r="D16" s="41" t="inlineStr">
        <is>
          <t>DFS</t>
        </is>
      </c>
      <c r="E16" s="41" t="inlineStr">
        <is>
          <t>NY Dept of Financial Services - Auto Insurance Information for Consumers</t>
        </is>
      </c>
      <c r="F16" s="42" t="inlineStr">
        <is>
          <t>https://www.dfs.ny.gov/consumers/auto_insurance/Auto_resource_center</t>
        </is>
      </c>
      <c r="G16" s="43" t="n">
        <v>46295</v>
      </c>
      <c r="H16" s="41" t="inlineStr">
        <is>
          <t>New York</t>
        </is>
      </c>
      <c r="I16" s="41" t="inlineStr">
        <is>
          <t>Regulator-published</t>
        </is>
      </c>
      <c r="J16" s="44" t="inlineStr">
        <is>
          <t>Primary source</t>
        </is>
      </c>
      <c r="K16" s="43" t="n">
        <v>46295</v>
      </c>
      <c r="L16" s="41" t="n"/>
    </row>
    <row r="17" ht="23.85" customHeight="1" s="29">
      <c r="A17" s="41" t="inlineStr">
        <is>
          <t>Discounts</t>
        </is>
      </c>
      <c r="B17" s="41" t="inlineStr">
        <is>
          <t>Equipment and anti-theft</t>
        </is>
      </c>
      <c r="C17" s="41" t="inlineStr">
        <is>
          <t>Discounts for ABS, daytime running lamps, air bags or automatic belts, anti-theft devices, electronic tracking and window etching</t>
        </is>
      </c>
      <c r="D17" s="41" t="inlineStr">
        <is>
          <t>DFS</t>
        </is>
      </c>
      <c r="E17" s="41" t="inlineStr">
        <is>
          <t>NY Dept of Financial Services - Auto Insurance Information for Consumers</t>
        </is>
      </c>
      <c r="F17" s="42" t="inlineStr">
        <is>
          <t>https://www.dfs.ny.gov/consumers/auto_insurance/Auto_resource_center</t>
        </is>
      </c>
      <c r="G17" s="43" t="n">
        <v>46295</v>
      </c>
      <c r="H17" s="41" t="inlineStr">
        <is>
          <t>New York</t>
        </is>
      </c>
      <c r="I17" s="41" t="inlineStr">
        <is>
          <t>Regulator-published</t>
        </is>
      </c>
      <c r="J17" s="44" t="inlineStr">
        <is>
          <t>Primary source</t>
        </is>
      </c>
      <c r="K17" s="43" t="n">
        <v>46295</v>
      </c>
      <c r="L17" s="41" t="inlineStr">
        <is>
          <t>Amount of required discounts must appear on the declarations page.</t>
        </is>
      </c>
    </row>
    <row r="18" ht="23.85" customHeight="1" s="29">
      <c r="A18" s="41" t="inlineStr">
        <is>
          <t>Discounts</t>
        </is>
      </c>
      <c r="B18" s="41" t="inlineStr">
        <is>
          <t>Telematics</t>
        </is>
      </c>
      <c r="C18" s="41" t="inlineStr">
        <is>
          <t>Optional; may be based on miles, time of day, acceleration, braking and GPS location</t>
        </is>
      </c>
      <c r="D18" s="41" t="inlineStr">
        <is>
          <t>DFS</t>
        </is>
      </c>
      <c r="E18" s="41" t="inlineStr">
        <is>
          <t>NY Dept of Financial Services - Auto Insurance Information for Consumers</t>
        </is>
      </c>
      <c r="F18" s="42" t="inlineStr">
        <is>
          <t>https://www.dfs.ny.gov/consumers/auto_insurance/Auto_resource_center</t>
        </is>
      </c>
      <c r="G18" s="43" t="n">
        <v>46295</v>
      </c>
      <c r="H18" s="41" t="inlineStr">
        <is>
          <t>New York</t>
        </is>
      </c>
      <c r="I18" s="41" t="inlineStr">
        <is>
          <t>Regulator-published</t>
        </is>
      </c>
      <c r="J18" s="44" t="inlineStr">
        <is>
          <t>Primary source</t>
        </is>
      </c>
      <c r="K18" s="43" t="n">
        <v>46295</v>
      </c>
      <c r="L18" s="41" t="n"/>
    </row>
    <row r="19" ht="35.05" customHeight="1" s="29">
      <c r="A19" s="41" t="inlineStr">
        <is>
          <t>Policy changes</t>
        </is>
      </c>
      <c r="B19" s="41" t="inlineStr">
        <is>
          <t>Cancellation</t>
        </is>
      </c>
      <c r="C19" s="41" t="inlineStr">
        <is>
          <t>First 60 days for any lawful reason; afterwards only license suspension/revocation, nonpayment or fraud; 20 days' notice (15 for nonpayment) stating reason</t>
        </is>
      </c>
      <c r="D19" s="41" t="inlineStr">
        <is>
          <t>DFS</t>
        </is>
      </c>
      <c r="E19" s="41" t="inlineStr">
        <is>
          <t>NY Dept of Financial Services - Auto Insurance Information for Consumers</t>
        </is>
      </c>
      <c r="F19" s="42" t="inlineStr">
        <is>
          <t>https://www.dfs.ny.gov/consumers/auto_insurance/Auto_resource_center</t>
        </is>
      </c>
      <c r="G19" s="43" t="n">
        <v>46295</v>
      </c>
      <c r="H19" s="41" t="inlineStr">
        <is>
          <t>New York</t>
        </is>
      </c>
      <c r="I19" s="41" t="inlineStr">
        <is>
          <t>Regulator-published</t>
        </is>
      </c>
      <c r="J19" s="44" t="inlineStr">
        <is>
          <t>Primary source</t>
        </is>
      </c>
      <c r="K19" s="43" t="n">
        <v>46295</v>
      </c>
      <c r="L19" s="41" t="n"/>
    </row>
    <row r="20" ht="23.85" customHeight="1" s="29">
      <c r="A20" s="41" t="inlineStr">
        <is>
          <t>Policy changes</t>
        </is>
      </c>
      <c r="B20" s="41" t="inlineStr">
        <is>
          <t>Nonrenewal</t>
        </is>
      </c>
      <c r="C20" s="41" t="inlineStr">
        <is>
          <t>45 to 60 days' advance written notice with reasons; no nonrenewal solely because the driver is 60</t>
        </is>
      </c>
      <c r="D20" s="41" t="inlineStr">
        <is>
          <t>DFS</t>
        </is>
      </c>
      <c r="E20" s="41" t="inlineStr">
        <is>
          <t>NY Dept of Financial Services - Auto Insurance Information for Consumers</t>
        </is>
      </c>
      <c r="F20" s="42" t="inlineStr">
        <is>
          <t>https://www.dfs.ny.gov/consumers/auto_insurance/Auto_resource_center</t>
        </is>
      </c>
      <c r="G20" s="43" t="n">
        <v>46295</v>
      </c>
      <c r="H20" s="41" t="inlineStr">
        <is>
          <t>New York</t>
        </is>
      </c>
      <c r="I20" s="41" t="inlineStr">
        <is>
          <t>Regulator-published</t>
        </is>
      </c>
      <c r="J20" s="44" t="inlineStr">
        <is>
          <t>Primary source</t>
        </is>
      </c>
      <c r="K20" s="43" t="n">
        <v>46295</v>
      </c>
      <c r="L20" s="41" t="n"/>
    </row>
    <row r="21" ht="23.85" customHeight="1" s="29">
      <c r="A21" s="41" t="inlineStr">
        <is>
          <t>Programs</t>
        </is>
      </c>
      <c r="B21" s="41" t="inlineStr">
        <is>
          <t>Auto Plan (NYAIP)</t>
        </is>
      </c>
      <c r="C21" s="41" t="inlineStr">
        <is>
          <t>For those declined in the voluntary market; same premium whichever insurer is assigned; insurer must keep you 3 years before nonrenewal</t>
        </is>
      </c>
      <c r="D21" s="41" t="inlineStr">
        <is>
          <t>DFS</t>
        </is>
      </c>
      <c r="E21" s="41" t="inlineStr">
        <is>
          <t>NY Dept of Financial Services - Auto Insurance Information for Consumers</t>
        </is>
      </c>
      <c r="F21" s="42" t="inlineStr">
        <is>
          <t>https://www.dfs.ny.gov/consumers/auto_insurance/Auto_resource_center</t>
        </is>
      </c>
      <c r="G21" s="43" t="n">
        <v>46295</v>
      </c>
      <c r="H21" s="41" t="inlineStr">
        <is>
          <t>New York</t>
        </is>
      </c>
      <c r="I21" s="41" t="inlineStr">
        <is>
          <t>Regulator-published</t>
        </is>
      </c>
      <c r="J21" s="44" t="inlineStr">
        <is>
          <t>Primary source</t>
        </is>
      </c>
      <c r="K21" s="43" t="n">
        <v>46295</v>
      </c>
      <c r="L21" s="41" t="n"/>
    </row>
    <row r="22" ht="23.85" customHeight="1" s="29">
      <c r="A22" s="41" t="inlineStr">
        <is>
          <t>Claims</t>
        </is>
      </c>
      <c r="B22" s="41" t="inlineStr">
        <is>
          <t>Physical damage timelines (Reg. 64)</t>
        </is>
      </c>
      <c r="C22" s="41" t="inlineStr">
        <is>
          <t>Inspect and make good-faith offer within 6 business days; pay within 5 business days of agreement; written reason if unsettled after 30 days</t>
        </is>
      </c>
      <c r="D22" s="41" t="inlineStr">
        <is>
          <t>DFS</t>
        </is>
      </c>
      <c r="E22" s="41" t="inlineStr">
        <is>
          <t>NY Dept of Financial Services - Auto Insurance Information for Consumers</t>
        </is>
      </c>
      <c r="F22" s="42" t="inlineStr">
        <is>
          <t>https://www.dfs.ny.gov/consumers/auto_insurance/Auto_resource_center</t>
        </is>
      </c>
      <c r="G22" s="43" t="n">
        <v>46295</v>
      </c>
      <c r="H22" s="41" t="inlineStr">
        <is>
          <t>New York</t>
        </is>
      </c>
      <c r="I22" s="41" t="inlineStr">
        <is>
          <t>Regulator-published</t>
        </is>
      </c>
      <c r="J22" s="44" t="inlineStr">
        <is>
          <t>Primary source</t>
        </is>
      </c>
      <c r="K22" s="43" t="n">
        <v>46295</v>
      </c>
      <c r="L22" s="41" t="n"/>
    </row>
    <row r="23" ht="23.85" customHeight="1" s="29">
      <c r="A23" s="41" t="inlineStr">
        <is>
          <t>Fees</t>
        </is>
      </c>
      <c r="B23" s="41" t="inlineStr">
        <is>
          <t>Motor vehicle law enforcement fee</t>
        </is>
      </c>
      <c r="C23" s="41" t="inlineStr">
        <is>
          <t>$10 per vehicle per year ($5 for six-month policy)</t>
        </is>
      </c>
      <c r="D23" s="41" t="inlineStr">
        <is>
          <t>DFS</t>
        </is>
      </c>
      <c r="E23" s="41" t="inlineStr">
        <is>
          <t>NY Dept of Financial Services - Auto Insurance Information for Consumers</t>
        </is>
      </c>
      <c r="F23" s="42" t="inlineStr">
        <is>
          <t>https://www.dfs.ny.gov/consumers/auto_insurance/Auto_resource_center</t>
        </is>
      </c>
      <c r="G23" s="43" t="n">
        <v>46295</v>
      </c>
      <c r="H23" s="41" t="inlineStr">
        <is>
          <t>New York</t>
        </is>
      </c>
      <c r="I23" s="41" t="inlineStr">
        <is>
          <t>Regulator-published</t>
        </is>
      </c>
      <c r="J23" s="44" t="inlineStr">
        <is>
          <t>Primary source</t>
        </is>
      </c>
      <c r="K23" s="43" t="n">
        <v>46295</v>
      </c>
      <c r="L23" s="41" t="n"/>
    </row>
  </sheetData>
  <autoFilter ref="A1:L23"/>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www.dfs.ny.gov/consumers/auto_insurance/Auto_resource_center" r:id="rId1"/>
    <hyperlink xmlns:r="http://schemas.openxmlformats.org/officeDocument/2006/relationships" ref="F3" display="https://www.dfs.ny.gov/consumers/auto_insurance/Auto_resource_center" r:id="rId2"/>
    <hyperlink xmlns:r="http://schemas.openxmlformats.org/officeDocument/2006/relationships" ref="F4" display="https://www.dfs.ny.gov/consumers/auto_insurance/Auto_resource_center" r:id="rId3"/>
    <hyperlink xmlns:r="http://schemas.openxmlformats.org/officeDocument/2006/relationships" ref="F5" display="https://www.dfs.ny.gov/consumers/auto_insurance/Auto_resource_center" r:id="rId4"/>
    <hyperlink xmlns:r="http://schemas.openxmlformats.org/officeDocument/2006/relationships" ref="F6" display="https://www.dfs.ny.gov/consumers/auto_insurance/Auto_resource_center" r:id="rId5"/>
    <hyperlink xmlns:r="http://schemas.openxmlformats.org/officeDocument/2006/relationships" ref="F7" display="https://www.dfs.ny.gov/consumers/auto_insurance/Auto_resource_center" r:id="rId6"/>
    <hyperlink xmlns:r="http://schemas.openxmlformats.org/officeDocument/2006/relationships" ref="F8" display="https://www.dfs.ny.gov/consumers/auto_insurance/Auto_resource_center" r:id="rId7"/>
    <hyperlink xmlns:r="http://schemas.openxmlformats.org/officeDocument/2006/relationships" ref="F9" display="https://www.dfs.ny.gov/faqs/consumer-auto/how-much-auto-insurance-must-i-carry" r:id="rId8"/>
    <hyperlink xmlns:r="http://schemas.openxmlformats.org/officeDocument/2006/relationships" ref="F10" display="https://www.dfs.ny.gov/consumers/auto_insurance/Auto_resource_center" r:id="rId9"/>
    <hyperlink xmlns:r="http://schemas.openxmlformats.org/officeDocument/2006/relationships" ref="F11" display="https://www.dfs.ny.gov/consumers/auto_insurance/Auto_resource_center" r:id="rId10"/>
    <hyperlink xmlns:r="http://schemas.openxmlformats.org/officeDocument/2006/relationships" ref="F12" display="https://www.dfs.ny.gov/consumers/auto_insurance/Auto_resource_center" r:id="rId11"/>
    <hyperlink xmlns:r="http://schemas.openxmlformats.org/officeDocument/2006/relationships" ref="F13" display="https://www.dfs.ny.gov/consumers/auto_insurance/Auto_resource_center" r:id="rId12"/>
    <hyperlink xmlns:r="http://schemas.openxmlformats.org/officeDocument/2006/relationships" ref="F14" display="https://www.dfs.ny.gov/consumers/auto_insurance/Auto_resource_center" r:id="rId13"/>
    <hyperlink xmlns:r="http://schemas.openxmlformats.org/officeDocument/2006/relationships" ref="F15" display="https://www.dfs.ny.gov/consumers/auto_insurance/Auto_resource_center" r:id="rId14"/>
    <hyperlink xmlns:r="http://schemas.openxmlformats.org/officeDocument/2006/relationships" ref="F16" display="https://www.dfs.ny.gov/consumers/auto_insurance/Auto_resource_center" r:id="rId15"/>
    <hyperlink xmlns:r="http://schemas.openxmlformats.org/officeDocument/2006/relationships" ref="F17" display="https://www.dfs.ny.gov/consumers/auto_insurance/Auto_resource_center" r:id="rId16"/>
    <hyperlink xmlns:r="http://schemas.openxmlformats.org/officeDocument/2006/relationships" ref="F18" display="https://www.dfs.ny.gov/consumers/auto_insurance/Auto_resource_center" r:id="rId17"/>
    <hyperlink xmlns:r="http://schemas.openxmlformats.org/officeDocument/2006/relationships" ref="F19" display="https://www.dfs.ny.gov/consumers/auto_insurance/Auto_resource_center" r:id="rId18"/>
    <hyperlink xmlns:r="http://schemas.openxmlformats.org/officeDocument/2006/relationships" ref="F20" display="https://www.dfs.ny.gov/consumers/auto_insurance/Auto_resource_center" r:id="rId19"/>
    <hyperlink xmlns:r="http://schemas.openxmlformats.org/officeDocument/2006/relationships" ref="F21" display="https://www.dfs.ny.gov/consumers/auto_insurance/Auto_resource_center" r:id="rId20"/>
    <hyperlink xmlns:r="http://schemas.openxmlformats.org/officeDocument/2006/relationships" ref="F22" display="https://www.dfs.ny.gov/consumers/auto_insurance/Auto_resource_center" r:id="rId21"/>
    <hyperlink xmlns:r="http://schemas.openxmlformats.org/officeDocument/2006/relationships" ref="F23" display="https://www.dfs.ny.gov/consumers/auto_insurance/Auto_resource_center" r:id="rId2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8" min="1" max="1"/>
    <col width="34" customWidth="1" style="28" min="2" max="2"/>
    <col width="60" customWidth="1" style="28" min="3" max="3"/>
    <col width="34" customWidth="1" style="28" min="4" max="4"/>
    <col width="42" customWidth="1" style="28" min="5" max="5"/>
    <col width="52" customWidth="1" style="28" min="6" max="6"/>
    <col width="12" customWidth="1" style="28" min="7" max="7"/>
    <col width="20" customWidth="1" style="28" min="8" max="8"/>
    <col width="24" customWidth="1" style="28" min="9" max="9"/>
    <col width="18" customWidth="1" style="28" min="10" max="10"/>
    <col width="12" customWidth="1" style="28" min="11" max="11"/>
    <col width="58" customWidth="1" style="28" min="12" max="12"/>
  </cols>
  <sheetData>
    <row r="1" ht="31.5" customHeight="1" s="29">
      <c r="A1" s="40" t="inlineStr">
        <is>
          <t>Topic</t>
        </is>
      </c>
      <c r="B1" s="40" t="inlineStr">
        <is>
          <t>Fact</t>
        </is>
      </c>
      <c r="C1" s="40" t="inlineStr">
        <is>
          <t>Value</t>
        </is>
      </c>
      <c r="D1" s="40" t="inlineStr">
        <is>
          <t>Legal Citation</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23.85" customHeight="1" s="29">
      <c r="A2" s="41" t="inlineStr">
        <is>
          <t>Coverage</t>
        </is>
      </c>
      <c r="B2" s="41" t="inlineStr">
        <is>
          <t>Standard coverages</t>
        </is>
      </c>
      <c r="C2" s="41" t="inlineStr">
        <is>
          <t>Most Texas home policies include six coverages; dwelling coverage pays if the house is damaged or destroyed by a covered peril</t>
        </is>
      </c>
      <c r="D2" s="41" t="inlineStr">
        <is>
          <t>TDI home guide (CB025)</t>
        </is>
      </c>
      <c r="E2" s="41" t="inlineStr">
        <is>
          <t>Texas Dept of Insurance - Home insurance guide (CB025)</t>
        </is>
      </c>
      <c r="F2" s="42" t="inlineStr">
        <is>
          <t>https://www.tdi.texas.gov/pubs/consumer/cb025.html</t>
        </is>
      </c>
      <c r="G2" s="43" t="n">
        <v>46295</v>
      </c>
      <c r="H2" s="41" t="inlineStr">
        <is>
          <t>Texas</t>
        </is>
      </c>
      <c r="I2" s="41" t="inlineStr">
        <is>
          <t>Regulator-published</t>
        </is>
      </c>
      <c r="J2" s="44" t="inlineStr">
        <is>
          <t>Primary source</t>
        </is>
      </c>
      <c r="K2" s="43" t="n">
        <v>46295</v>
      </c>
      <c r="L2" s="41" t="n"/>
    </row>
    <row r="3" ht="23.85" customHeight="1" s="29">
      <c r="A3" s="41" t="inlineStr">
        <is>
          <t>Settlement</t>
        </is>
      </c>
      <c r="B3" s="41" t="inlineStr">
        <is>
          <t>Replacement cost vs actual cash value</t>
        </is>
      </c>
      <c r="C3" s="41" t="inlineStr">
        <is>
          <t>Replacement cost pays current repair or rebuild cost; actual cash value pays replacement cost minus depreciation and costs less</t>
        </is>
      </c>
      <c r="D3" s="41" t="inlineStr">
        <is>
          <t>TDI home insurance page</t>
        </is>
      </c>
      <c r="E3" s="41" t="inlineStr">
        <is>
          <t>Texas Dept of Insurance - Home insurance guide (CB025)</t>
        </is>
      </c>
      <c r="F3" s="42" t="inlineStr">
        <is>
          <t>https://www.tdi.texas.gov/pubs/consumer/cb025.html</t>
        </is>
      </c>
      <c r="G3" s="43" t="n">
        <v>46295</v>
      </c>
      <c r="H3" s="41" t="inlineStr">
        <is>
          <t>Texas</t>
        </is>
      </c>
      <c r="I3" s="41" t="inlineStr">
        <is>
          <t>Regulator-published</t>
        </is>
      </c>
      <c r="J3" s="44" t="inlineStr">
        <is>
          <t>Primary source</t>
        </is>
      </c>
      <c r="K3" s="43" t="n">
        <v>46295</v>
      </c>
      <c r="L3" s="41" t="n"/>
    </row>
    <row r="4" ht="23.85" customHeight="1" s="29">
      <c r="A4" s="41" t="inlineStr">
        <is>
          <t>Liability</t>
        </is>
      </c>
      <c r="B4" s="41" t="inlineStr">
        <is>
          <t>Personal liability</t>
        </is>
      </c>
      <c r="C4" s="41" t="inlineStr">
        <is>
          <t>Home policies include liability protection with a limited amount; a separate umbrella policy can add more</t>
        </is>
      </c>
      <c r="D4" s="41" t="inlineStr">
        <is>
          <t>TDI home guide</t>
        </is>
      </c>
      <c r="E4" s="41" t="inlineStr">
        <is>
          <t>Texas Dept of Insurance - Home insurance guide (CB025)</t>
        </is>
      </c>
      <c r="F4" s="42" t="inlineStr">
        <is>
          <t>https://www.tdi.texas.gov/pubs/consumer/cb025.html</t>
        </is>
      </c>
      <c r="G4" s="43" t="n">
        <v>46295</v>
      </c>
      <c r="H4" s="41" t="inlineStr">
        <is>
          <t>Texas</t>
        </is>
      </c>
      <c r="I4" s="41" t="inlineStr">
        <is>
          <t>Regulator-published</t>
        </is>
      </c>
      <c r="J4" s="44" t="inlineStr">
        <is>
          <t>Primary source</t>
        </is>
      </c>
      <c r="K4" s="43" t="n">
        <v>46295</v>
      </c>
      <c r="L4" s="41" t="n"/>
    </row>
    <row r="5" ht="23.85" customHeight="1" s="29">
      <c r="A5" s="41" t="inlineStr">
        <is>
          <t>Flood</t>
        </is>
      </c>
      <c r="B5" s="41" t="inlineStr">
        <is>
          <t>Is flood covered?</t>
        </is>
      </c>
      <c r="C5" s="41" t="inlineStr">
        <is>
          <t>No. A separate flood policy is needed, from an insurer or the National Flood Insurance Program</t>
        </is>
      </c>
      <c r="D5" s="41" t="inlineStr">
        <is>
          <t>TDI flood page</t>
        </is>
      </c>
      <c r="E5" s="41" t="inlineStr">
        <is>
          <t>Texas Dept of Insurance - Home insurance guide (CB025)</t>
        </is>
      </c>
      <c r="F5" s="42" t="inlineStr">
        <is>
          <t>https://www.tdi.texas.gov/pubs/consumer/cb025.html</t>
        </is>
      </c>
      <c r="G5" s="43" t="n">
        <v>46295</v>
      </c>
      <c r="H5" s="41" t="inlineStr">
        <is>
          <t>Texas</t>
        </is>
      </c>
      <c r="I5" s="41" t="inlineStr">
        <is>
          <t>Regulator-published</t>
        </is>
      </c>
      <c r="J5" s="44" t="inlineStr">
        <is>
          <t>Primary source</t>
        </is>
      </c>
      <c r="K5" s="43" t="n">
        <v>46295</v>
      </c>
      <c r="L5" s="41" t="n"/>
    </row>
    <row r="6" ht="23.85" customHeight="1" s="29">
      <c r="A6" s="41" t="inlineStr">
        <is>
          <t>Flood</t>
        </is>
      </c>
      <c r="B6" s="41" t="inlineStr">
        <is>
          <t>Waiting period</t>
        </is>
      </c>
      <c r="C6" s="41" t="inlineStr">
        <is>
          <t>NFIP policies take effect 30 days after purchase unless bought for a new home purchase</t>
        </is>
      </c>
      <c r="D6" s="41" t="inlineStr">
        <is>
          <t>TDI blog</t>
        </is>
      </c>
      <c r="E6" s="41" t="inlineStr">
        <is>
          <t>Texas Dept of Insurance - Home and property blog</t>
        </is>
      </c>
      <c r="F6" s="42" t="inlineStr">
        <is>
          <t>https://tdi.texas.gov/blog/category/home-property.html</t>
        </is>
      </c>
      <c r="G6" s="43" t="n">
        <v>46295</v>
      </c>
      <c r="H6" s="41" t="inlineStr">
        <is>
          <t>Texas</t>
        </is>
      </c>
      <c r="I6" s="41" t="inlineStr">
        <is>
          <t>Regulator-published</t>
        </is>
      </c>
      <c r="J6" s="44" t="inlineStr">
        <is>
          <t>Primary source</t>
        </is>
      </c>
      <c r="K6" s="43" t="n">
        <v>46295</v>
      </c>
      <c r="L6" s="41" t="n"/>
    </row>
    <row r="7" ht="23.85" customHeight="1" s="29">
      <c r="A7" s="41" t="inlineStr">
        <is>
          <t>Wind</t>
        </is>
      </c>
      <c r="B7" s="41" t="inlineStr">
        <is>
          <t>Coastal homes</t>
        </is>
      </c>
      <c r="C7" s="41" t="inlineStr">
        <is>
          <t>Home policy may not cover wind and hail on the Texas coast or in Harris County on Galveston Bay; TWIA sells wind and hail coverage</t>
        </is>
      </c>
      <c r="D7" s="41" t="inlineStr">
        <is>
          <t>TDI home guide</t>
        </is>
      </c>
      <c r="E7" s="41" t="inlineStr">
        <is>
          <t>Texas Dept of Insurance - Home insurance guide (CB025)</t>
        </is>
      </c>
      <c r="F7" s="42" t="inlineStr">
        <is>
          <t>https://www.tdi.texas.gov/pubs/consumer/cb025.html</t>
        </is>
      </c>
      <c r="G7" s="43" t="n">
        <v>46295</v>
      </c>
      <c r="H7" s="41" t="inlineStr">
        <is>
          <t>Texas</t>
        </is>
      </c>
      <c r="I7" s="41" t="inlineStr">
        <is>
          <t>Regulator-published</t>
        </is>
      </c>
      <c r="J7" s="44" t="inlineStr">
        <is>
          <t>Primary source</t>
        </is>
      </c>
      <c r="K7" s="43" t="n">
        <v>46295</v>
      </c>
      <c r="L7" s="41" t="n"/>
    </row>
    <row r="8" ht="23.85" customHeight="1" s="29">
      <c r="A8" s="41" t="inlineStr">
        <is>
          <t>Wind</t>
        </is>
      </c>
      <c r="B8" s="41" t="inlineStr">
        <is>
          <t>TWIA territory</t>
        </is>
      </c>
      <c r="C8" s="41" t="inlineStr">
        <is>
          <t>14 coastal counties and parts of Harris County east of Highway 146</t>
        </is>
      </c>
      <c r="D8" s="41" t="inlineStr">
        <is>
          <t>TDI market overview</t>
        </is>
      </c>
      <c r="E8" s="41" t="inlineStr">
        <is>
          <t>Texas Dept of Insurance - Texas homeowners insurance market overview</t>
        </is>
      </c>
      <c r="F8" s="42" t="inlineStr">
        <is>
          <t>https://www.tdi.texas.gov/general/texas-homeowners-insurance-market-overview.html</t>
        </is>
      </c>
      <c r="G8" s="43" t="n">
        <v>46295</v>
      </c>
      <c r="H8" s="41" t="inlineStr">
        <is>
          <t>Texas</t>
        </is>
      </c>
      <c r="I8" s="41" t="inlineStr">
        <is>
          <t>Regulator-published</t>
        </is>
      </c>
      <c r="J8" s="44" t="inlineStr">
        <is>
          <t>Primary source</t>
        </is>
      </c>
      <c r="K8" s="43" t="n">
        <v>46295</v>
      </c>
      <c r="L8" s="41" t="n"/>
    </row>
    <row r="9" ht="35.05" customHeight="1" s="29">
      <c r="A9" s="41" t="inlineStr">
        <is>
          <t>Wind</t>
        </is>
      </c>
      <c r="B9" s="41" t="inlineStr">
        <is>
          <t>TWIA eligibility</t>
        </is>
      </c>
      <c r="C9" s="41" t="inlineStr">
        <is>
          <t>May require flood insurance first and an engineer or windstorm inspection; flood is required when property is in a V-type flood zone and NFIP flood is available</t>
        </is>
      </c>
      <c r="D9" s="41" t="inlineStr">
        <is>
          <t>TDI home guide; TWIA</t>
        </is>
      </c>
      <c r="E9" s="41" t="inlineStr">
        <is>
          <t>TWIA - Flood insurance requirements</t>
        </is>
      </c>
      <c r="F9" s="42" t="inlineStr">
        <is>
          <t>https://www.twia.org/flood-requirement/</t>
        </is>
      </c>
      <c r="G9" s="43" t="n">
        <v>46295</v>
      </c>
      <c r="H9" s="41" t="inlineStr">
        <is>
          <t>Texas</t>
        </is>
      </c>
      <c r="I9" s="41" t="inlineStr">
        <is>
          <t>Regulator-published</t>
        </is>
      </c>
      <c r="J9" s="44" t="inlineStr">
        <is>
          <t>Primary source</t>
        </is>
      </c>
      <c r="K9" s="43" t="n">
        <v>46295</v>
      </c>
      <c r="L9" s="41" t="inlineStr">
        <is>
          <t>TWIA sells wind and hail only, so a flood policy and a separate home policy are usually also needed.</t>
        </is>
      </c>
    </row>
    <row r="10" ht="23.85" customHeight="1" s="29">
      <c r="A10" s="41" t="inlineStr">
        <is>
          <t>Wind</t>
        </is>
      </c>
      <c r="B10" s="41" t="inlineStr">
        <is>
          <t>TWIA claim deadline</t>
        </is>
      </c>
      <c r="C10" s="41" t="inlineStr">
        <is>
          <t>One year from the date of damage</t>
        </is>
      </c>
      <c r="D10" s="41" t="inlineStr">
        <is>
          <t>TDI home guide</t>
        </is>
      </c>
      <c r="E10" s="41" t="inlineStr">
        <is>
          <t>Texas Dept of Insurance - Home insurance guide (CB025)</t>
        </is>
      </c>
      <c r="F10" s="42" t="inlineStr">
        <is>
          <t>https://www.tdi.texas.gov/pubs/consumer/cb025.html</t>
        </is>
      </c>
      <c r="G10" s="43" t="n">
        <v>46295</v>
      </c>
      <c r="H10" s="41" t="inlineStr">
        <is>
          <t>Texas</t>
        </is>
      </c>
      <c r="I10" s="41" t="inlineStr">
        <is>
          <t>Regulator-published</t>
        </is>
      </c>
      <c r="J10" s="44" t="inlineStr">
        <is>
          <t>Primary source</t>
        </is>
      </c>
      <c r="K10" s="43" t="n">
        <v>46295</v>
      </c>
      <c r="L10" s="41" t="n"/>
    </row>
    <row r="11" ht="23.85" customHeight="1" s="29">
      <c r="A11" s="41" t="inlineStr">
        <is>
          <t>Wind</t>
        </is>
      </c>
      <c r="B11" s="41" t="inlineStr">
        <is>
          <t>Named storm cutoff</t>
        </is>
      </c>
      <c r="C11" s="41" t="inlineStr">
        <is>
          <t>Once a named storm enters the Gulf, most insurers including TWIA stop selling new policies or making changes</t>
        </is>
      </c>
      <c r="D11" s="41" t="inlineStr">
        <is>
          <t>TDI blog</t>
        </is>
      </c>
      <c r="E11" s="41" t="inlineStr">
        <is>
          <t>Texas Dept of Insurance - Home and property blog</t>
        </is>
      </c>
      <c r="F11" s="42" t="inlineStr">
        <is>
          <t>https://tdi.texas.gov/blog/category/home-property.html</t>
        </is>
      </c>
      <c r="G11" s="43" t="n">
        <v>46295</v>
      </c>
      <c r="H11" s="41" t="inlineStr">
        <is>
          <t>Texas</t>
        </is>
      </c>
      <c r="I11" s="41" t="inlineStr">
        <is>
          <t>Regulator-published</t>
        </is>
      </c>
      <c r="J11" s="44" t="inlineStr">
        <is>
          <t>Primary source</t>
        </is>
      </c>
      <c r="K11" s="43" t="n">
        <v>46295</v>
      </c>
      <c r="L11" s="41" t="inlineStr">
        <is>
          <t>Timing matters for any 'buy now' guidance.</t>
        </is>
      </c>
    </row>
    <row r="12" ht="23.85" customHeight="1" s="29">
      <c r="A12" s="41" t="inlineStr">
        <is>
          <t>Wind</t>
        </is>
      </c>
      <c r="B12" s="41" t="inlineStr">
        <is>
          <t>TWIA maximum dwelling coverage</t>
        </is>
      </c>
      <c r="C12" s="41" t="inlineStr">
        <is>
          <t>About $1.8 million reported; one source says the Commissioner disapproved a proposed increase to $1,809,000 (TDI Order 2025-9540)</t>
        </is>
      </c>
      <c r="D12" s="41" t="inlineStr">
        <is>
          <t>Not confirmed</t>
        </is>
      </c>
      <c r="E12" s="41" t="inlineStr">
        <is>
          <t>Latent Insurance - TWIA coverage, limits and cost (Aug 2026)</t>
        </is>
      </c>
      <c r="F12" s="42" t="inlineStr">
        <is>
          <t>https://www.latentinsure.com/texas-homeowners-insurance/twia</t>
        </is>
      </c>
      <c r="G12" s="43" t="n">
        <v>46295</v>
      </c>
      <c r="H12" s="41" t="inlineStr">
        <is>
          <t>Texas</t>
        </is>
      </c>
      <c r="I12" s="41" t="inlineStr">
        <is>
          <t>Reference data (secondary source)</t>
        </is>
      </c>
      <c r="J12" s="46" t="inlineStr">
        <is>
          <t>Conflicting</t>
        </is>
      </c>
      <c r="K12" s="43" t="n">
        <v>46295</v>
      </c>
      <c r="L12" s="41" t="inlineStr">
        <is>
          <t>The two statements can both be true or the limit may differ; check TWIA's current limits.</t>
        </is>
      </c>
    </row>
    <row r="13" ht="23.85" customHeight="1" s="29">
      <c r="A13" s="41" t="inlineStr">
        <is>
          <t>Residual market</t>
        </is>
      </c>
      <c r="B13" s="41" t="inlineStr">
        <is>
          <t>FAIR Plan eligibility</t>
        </is>
      </c>
      <c r="C13" s="41" t="inlineStr">
        <is>
          <t>Texas-licensed companies will not insure you, at least two turned you down, and no company offered the same level of coverage</t>
        </is>
      </c>
      <c r="D13" s="41" t="inlineStr">
        <is>
          <t>TDI home insurance page</t>
        </is>
      </c>
      <c r="E13" s="41" t="inlineStr">
        <is>
          <t>Texas Dept of Insurance - Home insurance guide (CB025)</t>
        </is>
      </c>
      <c r="F13" s="42" t="inlineStr">
        <is>
          <t>https://www.tdi.texas.gov/pubs/consumer/cb025.html</t>
        </is>
      </c>
      <c r="G13" s="43" t="n">
        <v>46295</v>
      </c>
      <c r="H13" s="41" t="inlineStr">
        <is>
          <t>Texas</t>
        </is>
      </c>
      <c r="I13" s="41" t="inlineStr">
        <is>
          <t>Regulator-published</t>
        </is>
      </c>
      <c r="J13" s="44" t="inlineStr">
        <is>
          <t>Primary source</t>
        </is>
      </c>
      <c r="K13" s="43" t="n">
        <v>46295</v>
      </c>
      <c r="L13" s="41" t="n"/>
    </row>
    <row r="14" ht="15" customHeight="1" s="29">
      <c r="A14" s="41" t="inlineStr">
        <is>
          <t>Policy changes</t>
        </is>
      </c>
      <c r="B14" s="41" t="inlineStr">
        <is>
          <t>Nonrenewal notice</t>
        </is>
      </c>
      <c r="C14" s="41" t="inlineStr">
        <is>
          <t>Company must give 60 days' notice before the policy ends</t>
        </is>
      </c>
      <c r="D14" s="41" t="inlineStr">
        <is>
          <t>TDI blog</t>
        </is>
      </c>
      <c r="E14" s="41" t="inlineStr">
        <is>
          <t>Texas Dept of Insurance - Home and property blog</t>
        </is>
      </c>
      <c r="F14" s="42" t="inlineStr">
        <is>
          <t>https://tdi.texas.gov/blog/category/home-property.html</t>
        </is>
      </c>
      <c r="G14" s="43" t="n">
        <v>46295</v>
      </c>
      <c r="H14" s="41" t="inlineStr">
        <is>
          <t>Texas</t>
        </is>
      </c>
      <c r="I14" s="41" t="inlineStr">
        <is>
          <t>Regulator-published</t>
        </is>
      </c>
      <c r="J14" s="44" t="inlineStr">
        <is>
          <t>Primary source</t>
        </is>
      </c>
      <c r="K14" s="43" t="n">
        <v>46295</v>
      </c>
      <c r="L14" s="41" t="inlineStr">
        <is>
          <t>Undated blog; compare with the auto rule, which is date-specific.</t>
        </is>
      </c>
    </row>
    <row r="15" ht="23.85" customHeight="1" s="29">
      <c r="A15" s="41" t="inlineStr">
        <is>
          <t>Claims</t>
        </is>
      </c>
      <c r="B15" s="41" t="inlineStr">
        <is>
          <t>Public adjusters</t>
        </is>
      </c>
      <c r="C15" s="41" t="inlineStr">
        <is>
          <t>Must hold a TDI license</t>
        </is>
      </c>
      <c r="D15" s="41" t="inlineStr">
        <is>
          <t>TDI home guide</t>
        </is>
      </c>
      <c r="E15" s="41" t="inlineStr">
        <is>
          <t>Texas Dept of Insurance - Home insurance guide (CB025)</t>
        </is>
      </c>
      <c r="F15" s="42" t="inlineStr">
        <is>
          <t>https://www.tdi.texas.gov/pubs/consumer/cb025.html</t>
        </is>
      </c>
      <c r="G15" s="43" t="n">
        <v>46295</v>
      </c>
      <c r="H15" s="41" t="inlineStr">
        <is>
          <t>Texas</t>
        </is>
      </c>
      <c r="I15" s="41" t="inlineStr">
        <is>
          <t>Regulator-published</t>
        </is>
      </c>
      <c r="J15" s="44" t="inlineStr">
        <is>
          <t>Primary source</t>
        </is>
      </c>
      <c r="K15" s="43" t="n">
        <v>46295</v>
      </c>
      <c r="L15" s="41" t="n"/>
    </row>
    <row r="16" ht="23.85" customHeight="1" s="29">
      <c r="A16" s="41" t="inlineStr">
        <is>
          <t>Market</t>
        </is>
      </c>
      <c r="B16" s="41" t="inlineStr">
        <is>
          <t>Average annual homeowners premium</t>
        </is>
      </c>
      <c r="C16" s="41" t="inlineStr">
        <is>
          <t>$3,506 (preliminary 2025)</t>
        </is>
      </c>
      <c r="D16" s="41" t="inlineStr">
        <is>
          <t>TDI June 2026 market overview (as reported)</t>
        </is>
      </c>
      <c r="E16" s="41" t="inlineStr">
        <is>
          <t>Aegivra - Texas homeowners insurance guide (Jul 2026)</t>
        </is>
      </c>
      <c r="F16" s="42" t="inlineStr">
        <is>
          <t>https://aegivra.com/guides/texas-homeowners-insurance-guide</t>
        </is>
      </c>
      <c r="G16" s="43" t="n">
        <v>46295</v>
      </c>
      <c r="H16" s="41" t="inlineStr">
        <is>
          <t>Texas</t>
        </is>
      </c>
      <c r="I16" s="41" t="inlineStr">
        <is>
          <t>Reference data (secondary source)</t>
        </is>
      </c>
      <c r="J16" s="45" t="inlineStr">
        <is>
          <t>Secondary - unverified</t>
        </is>
      </c>
      <c r="K16" s="43" t="n">
        <v>46295</v>
      </c>
      <c r="L16" s="41" t="inlineStr">
        <is>
          <t>Read the TDI overview directly before using.</t>
        </is>
      </c>
    </row>
    <row r="17" ht="23.85" customHeight="1" s="29">
      <c r="A17" s="41" t="inlineStr">
        <is>
          <t>Deductible</t>
        </is>
      </c>
      <c r="B17" s="41" t="inlineStr">
        <is>
          <t>Wind/hail deductible form</t>
        </is>
      </c>
      <c r="C17" s="41" t="inlineStr">
        <is>
          <t>Usually a percentage of Coverage A; for example 2% of a $500,000 dwelling limit is $10,000</t>
        </is>
      </c>
      <c r="D17" s="41" t="inlineStr">
        <is>
          <t>Policy practice (not a statute)</t>
        </is>
      </c>
      <c r="E17" s="41" t="inlineStr">
        <is>
          <t>Aegivra - Texas homeowners insurance guide (Jul 2026)</t>
        </is>
      </c>
      <c r="F17" s="42" t="inlineStr">
        <is>
          <t>https://aegivra.com/guides/texas-homeowners-insurance-guide</t>
        </is>
      </c>
      <c r="G17" s="43" t="n">
        <v>46295</v>
      </c>
      <c r="H17" s="41" t="inlineStr">
        <is>
          <t>Texas</t>
        </is>
      </c>
      <c r="I17" s="41" t="inlineStr">
        <is>
          <t>Reference data (secondary source)</t>
        </is>
      </c>
      <c r="J17" s="45" t="inlineStr">
        <is>
          <t>Secondary - unverified</t>
        </is>
      </c>
      <c r="K17" s="43" t="n">
        <v>46295</v>
      </c>
      <c r="L17" s="41" t="inlineStr">
        <is>
          <t>Percentages vary by policy.</t>
        </is>
      </c>
    </row>
  </sheetData>
  <autoFilter ref="A1:L17"/>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www.tdi.texas.gov/pubs/consumer/cb025.html" r:id="rId1"/>
    <hyperlink xmlns:r="http://schemas.openxmlformats.org/officeDocument/2006/relationships" ref="F3" display="https://www.tdi.texas.gov/pubs/consumer/cb025.html" r:id="rId2"/>
    <hyperlink xmlns:r="http://schemas.openxmlformats.org/officeDocument/2006/relationships" ref="F4" display="https://www.tdi.texas.gov/pubs/consumer/cb025.html" r:id="rId3"/>
    <hyperlink xmlns:r="http://schemas.openxmlformats.org/officeDocument/2006/relationships" ref="F5" display="https://www.tdi.texas.gov/pubs/consumer/cb025.html" r:id="rId4"/>
    <hyperlink xmlns:r="http://schemas.openxmlformats.org/officeDocument/2006/relationships" ref="F6" display="https://tdi.texas.gov/blog/category/home-property.html" r:id="rId5"/>
    <hyperlink xmlns:r="http://schemas.openxmlformats.org/officeDocument/2006/relationships" ref="F7" display="https://www.tdi.texas.gov/pubs/consumer/cb025.html" r:id="rId6"/>
    <hyperlink xmlns:r="http://schemas.openxmlformats.org/officeDocument/2006/relationships" ref="F8" display="https://www.tdi.texas.gov/general/texas-homeowners-insurance-market-overview.html" r:id="rId7"/>
    <hyperlink xmlns:r="http://schemas.openxmlformats.org/officeDocument/2006/relationships" ref="F9" display="https://www.twia.org/flood-requirement/" r:id="rId8"/>
    <hyperlink xmlns:r="http://schemas.openxmlformats.org/officeDocument/2006/relationships" ref="F10" display="https://www.tdi.texas.gov/pubs/consumer/cb025.html" r:id="rId9"/>
    <hyperlink xmlns:r="http://schemas.openxmlformats.org/officeDocument/2006/relationships" ref="F11" display="https://tdi.texas.gov/blog/category/home-property.html" r:id="rId10"/>
    <hyperlink xmlns:r="http://schemas.openxmlformats.org/officeDocument/2006/relationships" ref="F12" display="https://www.latentinsure.com/texas-homeowners-insurance/twia" r:id="rId11"/>
    <hyperlink xmlns:r="http://schemas.openxmlformats.org/officeDocument/2006/relationships" ref="F13" display="https://www.tdi.texas.gov/pubs/consumer/cb025.html" r:id="rId12"/>
    <hyperlink xmlns:r="http://schemas.openxmlformats.org/officeDocument/2006/relationships" ref="F14" display="https://tdi.texas.gov/blog/category/home-property.html" r:id="rId13"/>
    <hyperlink xmlns:r="http://schemas.openxmlformats.org/officeDocument/2006/relationships" ref="F15" display="https://www.tdi.texas.gov/pubs/consumer/cb025.html" r:id="rId14"/>
    <hyperlink xmlns:r="http://schemas.openxmlformats.org/officeDocument/2006/relationships" ref="F16" display="https://aegivra.com/guides/texas-homeowners-insurance-guide" r:id="rId15"/>
    <hyperlink xmlns:r="http://schemas.openxmlformats.org/officeDocument/2006/relationships" ref="F17" display="https://aegivra.com/guides/texas-homeowners-insurance-guide" r:id="rId1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L1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8" min="1" max="1"/>
    <col width="34" customWidth="1" style="28" min="2" max="2"/>
    <col width="60" customWidth="1" style="28" min="3" max="3"/>
    <col width="34" customWidth="1" style="28" min="4" max="4"/>
    <col width="42" customWidth="1" style="28" min="5" max="5"/>
    <col width="52" customWidth="1" style="28" min="6" max="6"/>
    <col width="12" customWidth="1" style="28" min="7" max="7"/>
    <col width="20" customWidth="1" style="28" min="8" max="8"/>
    <col width="24" customWidth="1" style="28" min="9" max="9"/>
    <col width="18" customWidth="1" style="28" min="10" max="10"/>
    <col width="12" customWidth="1" style="28" min="11" max="11"/>
    <col width="58" customWidth="1" style="28" min="12" max="12"/>
  </cols>
  <sheetData>
    <row r="1" ht="31.5" customHeight="1" s="29">
      <c r="A1" s="40" t="inlineStr">
        <is>
          <t>Topic</t>
        </is>
      </c>
      <c r="B1" s="40" t="inlineStr">
        <is>
          <t>Fact</t>
        </is>
      </c>
      <c r="C1" s="40" t="inlineStr">
        <is>
          <t>Value</t>
        </is>
      </c>
      <c r="D1" s="40" t="inlineStr">
        <is>
          <t>Legal Citation</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23.85" customHeight="1" s="29">
      <c r="A2" s="41" t="inlineStr">
        <is>
          <t>Hurricane deductible</t>
        </is>
      </c>
      <c r="B2" s="41" t="inlineStr">
        <is>
          <t>Options insurers must offer</t>
        </is>
      </c>
      <c r="C2" s="41" t="inlineStr">
        <is>
          <t>$500, 2%, 5% and 10% of the policy dwelling limit before issuing a personal residential policy (unless the percentage is under $500)</t>
        </is>
      </c>
      <c r="D2" s="41" t="inlineStr">
        <is>
          <t>Fla. Stat. 627.701(3)(a)</t>
        </is>
      </c>
      <c r="E2" s="41" t="inlineStr">
        <is>
          <t>Florida Statutes 627.701 - deductibles (via FindLaw)</t>
        </is>
      </c>
      <c r="F2" s="42" t="inlineStr">
        <is>
          <t>https://codes.findlaw.com/fl/title-xxxvii-insurance/fl-st-sect-627-701/</t>
        </is>
      </c>
      <c r="G2" s="43" t="n">
        <v>46295</v>
      </c>
      <c r="H2" s="41" t="inlineStr">
        <is>
          <t>Florida</t>
        </is>
      </c>
      <c r="I2" s="41" t="inlineStr">
        <is>
          <t>Statute / regulation text</t>
        </is>
      </c>
      <c r="J2" s="44" t="inlineStr">
        <is>
          <t>Primary source</t>
        </is>
      </c>
      <c r="K2" s="43" t="n">
        <v>46295</v>
      </c>
      <c r="L2" s="41" t="inlineStr">
        <is>
          <t>Statute text seen via FindLaw snippet.</t>
        </is>
      </c>
    </row>
    <row r="3" ht="23.85" customHeight="1" s="29">
      <c r="A3" s="41" t="inlineStr">
        <is>
          <t>Hurricane deductible</t>
        </is>
      </c>
      <c r="B3" s="41" t="inlineStr">
        <is>
          <t>When it applies</t>
        </is>
      </c>
      <c r="C3" s="41" t="inlineStr">
        <is>
          <t>Begins when a hurricane warning is issued for any part of Florida; applies annually if the same insurer or group covers you</t>
        </is>
      </c>
      <c r="D3" s="41" t="inlineStr">
        <is>
          <t>Fla. Stat. 627.4025 (per DFS)</t>
        </is>
      </c>
      <c r="E3" s="41" t="inlineStr">
        <is>
          <t>Florida DFS - Florida's Hurricane Deductible</t>
        </is>
      </c>
      <c r="F3" s="42" t="inlineStr">
        <is>
          <t>https://www.myfloridacfo.com/division/consumers/consumerprotections/floridashurricanedeductible</t>
        </is>
      </c>
      <c r="G3" s="43" t="n">
        <v>46295</v>
      </c>
      <c r="H3" s="41" t="inlineStr">
        <is>
          <t>Florida</t>
        </is>
      </c>
      <c r="I3" s="41" t="inlineStr">
        <is>
          <t>Regulator-published</t>
        </is>
      </c>
      <c r="J3" s="44" t="inlineStr">
        <is>
          <t>Primary source</t>
        </is>
      </c>
      <c r="K3" s="43" t="n">
        <v>46295</v>
      </c>
      <c r="L3" s="41" t="inlineStr">
        <is>
          <t>A secondary source says it ends 72 hours after the last watch or warning ends.</t>
        </is>
      </c>
    </row>
    <row r="4" ht="23.85" customHeight="1" s="29">
      <c r="A4" s="41" t="inlineStr">
        <is>
          <t>Hurricane deductible</t>
        </is>
      </c>
      <c r="B4" s="41" t="inlineStr">
        <is>
          <t>Separate from other perils</t>
        </is>
      </c>
      <c r="C4" s="41" t="inlineStr">
        <is>
          <t>A percentage hurricane deductible is separate from the regular deductible; only the hurricane deductible applies to a hurricane loss</t>
        </is>
      </c>
      <c r="D4" s="41" t="inlineStr">
        <is>
          <t>DFS; secondary sources</t>
        </is>
      </c>
      <c r="E4" s="41" t="inlineStr">
        <is>
          <t>Florida DFS - Florida's Hurricane Deductible</t>
        </is>
      </c>
      <c r="F4" s="42" t="inlineStr">
        <is>
          <t>https://www.myfloridacfo.com/division/consumers/consumerprotections/floridashurricanedeductible</t>
        </is>
      </c>
      <c r="G4" s="43" t="n">
        <v>46295</v>
      </c>
      <c r="H4" s="41" t="inlineStr">
        <is>
          <t>Florida</t>
        </is>
      </c>
      <c r="I4" s="41" t="inlineStr">
        <is>
          <t>Regulator-published</t>
        </is>
      </c>
      <c r="J4" s="44" t="inlineStr">
        <is>
          <t>Primary source</t>
        </is>
      </c>
      <c r="K4" s="43" t="n">
        <v>46295</v>
      </c>
      <c r="L4" s="41" t="inlineStr">
        <is>
          <t>Example: 2% of a $340,000 dwelling limit is $6,800 (Coverage Classroom).</t>
        </is>
      </c>
    </row>
    <row r="5" ht="23.85" customHeight="1" s="29">
      <c r="A5" s="41" t="inlineStr">
        <is>
          <t>Wind coverage</t>
        </is>
      </c>
      <c r="B5" s="41" t="inlineStr">
        <is>
          <t>Windstorm exclusion</t>
        </is>
      </c>
      <c r="C5" s="41" t="inlineStr">
        <is>
          <t>Authorized insurers (not surplus lines) must make a windstorm exclusion available</t>
        </is>
      </c>
      <c r="D5" s="41" t="inlineStr">
        <is>
          <t>Fla. Stat. 627.712 (per DFS)</t>
        </is>
      </c>
      <c r="E5" s="41" t="inlineStr">
        <is>
          <t>Florida DFS - Florida's Hurricane Deductible</t>
        </is>
      </c>
      <c r="F5" s="42" t="inlineStr">
        <is>
          <t>https://www.myfloridacfo.com/division/consumers/consumerprotections/floridashurricanedeductible</t>
        </is>
      </c>
      <c r="G5" s="43" t="n">
        <v>46295</v>
      </c>
      <c r="H5" s="41" t="inlineStr">
        <is>
          <t>Florida</t>
        </is>
      </c>
      <c r="I5" s="41" t="inlineStr">
        <is>
          <t>Regulator-published</t>
        </is>
      </c>
      <c r="J5" s="44" t="inlineStr">
        <is>
          <t>Primary source</t>
        </is>
      </c>
      <c r="K5" s="43" t="n">
        <v>46295</v>
      </c>
      <c r="L5" s="41" t="n"/>
    </row>
    <row r="6" ht="23.85" customHeight="1" s="29">
      <c r="A6" s="41" t="inlineStr">
        <is>
          <t>Wind coverage</t>
        </is>
      </c>
      <c r="B6" s="41" t="inlineStr">
        <is>
          <t>Mitigation credits</t>
        </is>
      </c>
      <c r="C6" s="41" t="inlineStr">
        <is>
          <t>When the owner has taken hurricane mitigation measures, insurer must offer a reduced hurricane deductible or a discount credit</t>
        </is>
      </c>
      <c r="D6" s="41" t="inlineStr">
        <is>
          <t>Fla. Stat. 627.701(9); 627.0629</t>
        </is>
      </c>
      <c r="E6" s="41" t="inlineStr">
        <is>
          <t>Florida Statutes 627.701 - deductibles (via FindLaw)</t>
        </is>
      </c>
      <c r="F6" s="42" t="inlineStr">
        <is>
          <t>https://codes.findlaw.com/fl/title-xxxvii-insurance/fl-st-sect-627-701/</t>
        </is>
      </c>
      <c r="G6" s="43" t="n">
        <v>46295</v>
      </c>
      <c r="H6" s="41" t="inlineStr">
        <is>
          <t>Florida</t>
        </is>
      </c>
      <c r="I6" s="41" t="inlineStr">
        <is>
          <t>Statute / regulation text</t>
        </is>
      </c>
      <c r="J6" s="44" t="inlineStr">
        <is>
          <t>Primary source</t>
        </is>
      </c>
      <c r="K6" s="43" t="n">
        <v>46295</v>
      </c>
      <c r="L6" s="41" t="inlineStr">
        <is>
          <t>Text seen is from a 2011 version; confirm current law.</t>
        </is>
      </c>
    </row>
    <row r="7" ht="23.85" customHeight="1" s="29">
      <c r="A7" s="41" t="inlineStr">
        <is>
          <t>Wind coverage</t>
        </is>
      </c>
      <c r="B7" s="41" t="inlineStr">
        <is>
          <t>Separate roof deductible</t>
        </is>
      </c>
      <c r="C7" s="41" t="inlineStr">
        <is>
          <t>Insurers may include a separate roof deductible meeting statutory conditions; policyholder may opt out at initial issuance</t>
        </is>
      </c>
      <c r="D7" s="41" t="inlineStr">
        <is>
          <t>Fla. Stat. 627.701(10)</t>
        </is>
      </c>
      <c r="E7" s="41" t="inlineStr">
        <is>
          <t>Florida Statutes 627.701 - deductibles (via FindLaw)</t>
        </is>
      </c>
      <c r="F7" s="42" t="inlineStr">
        <is>
          <t>https://codes.findlaw.com/fl/title-xxxvii-insurance/fl-st-sect-627-701/</t>
        </is>
      </c>
      <c r="G7" s="43" t="n">
        <v>46295</v>
      </c>
      <c r="H7" s="41" t="inlineStr">
        <is>
          <t>Florida</t>
        </is>
      </c>
      <c r="I7" s="41" t="inlineStr">
        <is>
          <t>Statute / regulation text</t>
        </is>
      </c>
      <c r="J7" s="44" t="inlineStr">
        <is>
          <t>Primary source</t>
        </is>
      </c>
      <c r="K7" s="43" t="n">
        <v>46295</v>
      </c>
      <c r="L7" s="41" t="inlineStr">
        <is>
          <t>Conditions were truncated in the snippet; read the statute.</t>
        </is>
      </c>
    </row>
    <row r="8" ht="23.85" customHeight="1" s="29">
      <c r="A8" s="41" t="inlineStr">
        <is>
          <t>Flood</t>
        </is>
      </c>
      <c r="B8" s="41" t="inlineStr">
        <is>
          <t>Is flood covered?</t>
        </is>
      </c>
      <c r="C8" s="41" t="inlineStr">
        <is>
          <t>No. Homeowners policies exclude flood and Citizens may not insure flood</t>
        </is>
      </c>
      <c r="D8" s="41" t="inlineStr">
        <is>
          <t>Fla. Stat. 627.715 (per secondary source)</t>
        </is>
      </c>
      <c r="E8" s="41" t="inlineStr">
        <is>
          <t>Coverage Classroom - Hurricane insurance in Florida</t>
        </is>
      </c>
      <c r="F8" s="42" t="inlineStr">
        <is>
          <t>https://coverageclassroom.com/learn/hurricane-insurance-florida-guide</t>
        </is>
      </c>
      <c r="G8" s="43" t="n">
        <v>46295</v>
      </c>
      <c r="H8" s="41" t="inlineStr">
        <is>
          <t>Florida</t>
        </is>
      </c>
      <c r="I8" s="41" t="inlineStr">
        <is>
          <t>Reference data (secondary source)</t>
        </is>
      </c>
      <c r="J8" s="45" t="inlineStr">
        <is>
          <t>Secondary - unverified</t>
        </is>
      </c>
      <c r="K8" s="43" t="n">
        <v>46295</v>
      </c>
      <c r="L8" s="41" t="n"/>
    </row>
    <row r="9" ht="46.25" customHeight="1" s="29">
      <c r="A9" s="41" t="inlineStr">
        <is>
          <t>Citizens</t>
        </is>
      </c>
      <c r="B9" s="41" t="inlineStr">
        <is>
          <t>Flood requirement phase-in</t>
        </is>
      </c>
      <c r="C9" s="41" t="inlineStr">
        <is>
          <t>Citizens wind policies need separate flood coverage: $600,000+ dwelling from Jan 1, 2024; $500,000+ from Jan 1, 2025; $400,000+ from Jan 1, 2026; all remaining policies from Jan 1, 2027; policies without wind are excluded</t>
        </is>
      </c>
      <c r="D9" s="41" t="inlineStr">
        <is>
          <t>Fla. Stat. 627.351(6)(aa) (per secondary sources)</t>
        </is>
      </c>
      <c r="E9" s="41" t="inlineStr">
        <is>
          <t>Coverage Classroom - Citizens flood requirement phase-in</t>
        </is>
      </c>
      <c r="F9" s="42" t="inlineStr">
        <is>
          <t>https://coverageclassroom.com/learn/citizens-flood-insurance-requirement</t>
        </is>
      </c>
      <c r="G9" s="43" t="n">
        <v>46295</v>
      </c>
      <c r="H9" s="41" t="inlineStr">
        <is>
          <t>Florida</t>
        </is>
      </c>
      <c r="I9" s="41" t="inlineStr">
        <is>
          <t>Reference data (secondary source)</t>
        </is>
      </c>
      <c r="J9" s="45" t="inlineStr">
        <is>
          <t>Secondary - unverified</t>
        </is>
      </c>
      <c r="K9" s="43" t="n">
        <v>46295</v>
      </c>
      <c r="L9" s="41" t="inlineStr">
        <is>
          <t>Confirm on Citizens' site. Coverage Criteria/Lewis Insurance agree on the $400,000 level for 2026.</t>
        </is>
      </c>
    </row>
    <row r="10" ht="23.85" customHeight="1" s="29">
      <c r="A10" s="41" t="inlineStr">
        <is>
          <t>Citizens</t>
        </is>
      </c>
      <c r="B10" s="41" t="inlineStr">
        <is>
          <t>Eligibility price test</t>
        </is>
      </c>
      <c r="C10" s="41" t="inlineStr">
        <is>
          <t>A private offer within 20% of the Citizens rate can make the risk ineligible</t>
        </is>
      </c>
      <c r="D10" s="41" t="inlineStr">
        <is>
          <t>Fla. Stat. 627.351(6) (per secondary sources)</t>
        </is>
      </c>
      <c r="E10" s="41" t="inlineStr">
        <is>
          <t>CIG Florida - Policy updates for Florida homeowners (Apr 2026)</t>
        </is>
      </c>
      <c r="F10" s="42" t="inlineStr">
        <is>
          <t>https://www.cigflorida.com/policy-updates-for-florida-homeowners/</t>
        </is>
      </c>
      <c r="G10" s="43" t="n">
        <v>46295</v>
      </c>
      <c r="H10" s="41" t="inlineStr">
        <is>
          <t>Florida</t>
        </is>
      </c>
      <c r="I10" s="41" t="inlineStr">
        <is>
          <t>Reference data (secondary source)</t>
        </is>
      </c>
      <c r="J10" s="45" t="inlineStr">
        <is>
          <t>Secondary - unverified</t>
        </is>
      </c>
      <c r="K10" s="43" t="n">
        <v>46295</v>
      </c>
      <c r="L10" s="41" t="inlineStr">
        <is>
          <t>Three sources agree.</t>
        </is>
      </c>
    </row>
    <row r="11" ht="23.85" customHeight="1" s="29">
      <c r="A11" s="41" t="inlineStr">
        <is>
          <t>Citizens</t>
        </is>
      </c>
      <c r="B11" s="41" t="inlineStr">
        <is>
          <t>Surcharges and assessments</t>
        </is>
      </c>
      <c r="C11" s="41" t="inlineStr">
        <is>
          <t>Policyholder surcharge up to 45% and emergency assessments up to 30% on most Florida policies after a deficit</t>
        </is>
      </c>
      <c r="D11" s="41" t="inlineStr">
        <is>
          <t>Fla. Stat. 627.351(6) (per CIG)</t>
        </is>
      </c>
      <c r="E11" s="41" t="inlineStr">
        <is>
          <t>CIG Florida - Policy updates for Florida homeowners (Apr 2026)</t>
        </is>
      </c>
      <c r="F11" s="42" t="inlineStr">
        <is>
          <t>https://www.cigflorida.com/policy-updates-for-florida-homeowners/</t>
        </is>
      </c>
      <c r="G11" s="43" t="n">
        <v>46295</v>
      </c>
      <c r="H11" s="41" t="inlineStr">
        <is>
          <t>Florida</t>
        </is>
      </c>
      <c r="I11" s="41" t="inlineStr">
        <is>
          <t>Reference data (secondary source)</t>
        </is>
      </c>
      <c r="J11" s="45" t="inlineStr">
        <is>
          <t>Secondary - unverified</t>
        </is>
      </c>
      <c r="K11" s="43" t="n">
        <v>46295</v>
      </c>
      <c r="L11" s="41" t="n"/>
    </row>
    <row r="12" ht="23.85" customHeight="1" s="29">
      <c r="A12" s="41" t="inlineStr">
        <is>
          <t>Citizens</t>
        </is>
      </c>
      <c r="B12" s="41" t="inlineStr">
        <is>
          <t>Size</t>
        </is>
      </c>
      <c r="C12" s="41" t="inlineStr">
        <is>
          <t>1.93% of the statewide homeowners market and 57.33% of the wind-only market as of Mar 31, 2026</t>
        </is>
      </c>
      <c r="D12" s="41" t="inlineStr">
        <is>
          <t>OIR data (per Coverage Classroom)</t>
        </is>
      </c>
      <c r="E12" s="41" t="inlineStr">
        <is>
          <t>Coverage Classroom - Citizens flood requirement phase-in</t>
        </is>
      </c>
      <c r="F12" s="42" t="inlineStr">
        <is>
          <t>https://coverageclassroom.com/learn/citizens-flood-insurance-requirement</t>
        </is>
      </c>
      <c r="G12" s="43" t="n">
        <v>46295</v>
      </c>
      <c r="H12" s="41" t="inlineStr">
        <is>
          <t>Florida</t>
        </is>
      </c>
      <c r="I12" s="41" t="inlineStr">
        <is>
          <t>Reference data (secondary source)</t>
        </is>
      </c>
      <c r="J12" s="45" t="inlineStr">
        <is>
          <t>Secondary - unverified</t>
        </is>
      </c>
      <c r="K12" s="43" t="n">
        <v>46295</v>
      </c>
      <c r="L12" s="41" t="inlineStr">
        <is>
          <t>Policy counts disagree: over 1.2 million (Louis Law) vs under 400,000 (Lewis Insurance, Jan 2026).</t>
        </is>
      </c>
    </row>
    <row r="13" ht="23.85" customHeight="1" s="29">
      <c r="A13" s="41" t="inlineStr">
        <is>
          <t>Market</t>
        </is>
      </c>
      <c r="B13" s="41" t="inlineStr">
        <is>
          <t>County average premiums including wind (Mar 31, 2026)</t>
        </is>
      </c>
      <c r="C13" s="41" t="inlineStr">
        <is>
          <t>Sumter $2,105 (lowest; $1,352 without wind); Osceola $2,940</t>
        </is>
      </c>
      <c r="D13" s="41" t="inlineStr">
        <is>
          <t>OIR July 2026 report (per Coverage Classroom)</t>
        </is>
      </c>
      <c r="E13" s="41" t="inlineStr">
        <is>
          <t>Coverage Classroom - Hurricane insurance in Florida</t>
        </is>
      </c>
      <c r="F13" s="42" t="inlineStr">
        <is>
          <t>https://coverageclassroom.com/learn/hurricane-insurance-florida-guide</t>
        </is>
      </c>
      <c r="G13" s="43" t="n">
        <v>46295</v>
      </c>
      <c r="H13" s="41" t="inlineStr">
        <is>
          <t>Florida</t>
        </is>
      </c>
      <c r="I13" s="41" t="inlineStr">
        <is>
          <t>Reference data (secondary source)</t>
        </is>
      </c>
      <c r="J13" s="45" t="inlineStr">
        <is>
          <t>Secondary - unverified</t>
        </is>
      </c>
      <c r="K13" s="43" t="n">
        <v>46295</v>
      </c>
      <c r="L13" s="41" t="inlineStr">
        <is>
          <t>Read the OIR report directly.</t>
        </is>
      </c>
    </row>
  </sheetData>
  <autoFilter ref="A1:L13"/>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codes.findlaw.com/fl/title-xxxvii-insurance/fl-st-sect-627-701/" r:id="rId1"/>
    <hyperlink xmlns:r="http://schemas.openxmlformats.org/officeDocument/2006/relationships" ref="F3" display="https://www.myfloridacfo.com/division/consumers/consumerprotections/floridashurricanedeductible" r:id="rId2"/>
    <hyperlink xmlns:r="http://schemas.openxmlformats.org/officeDocument/2006/relationships" ref="F4" display="https://www.myfloridacfo.com/division/consumers/consumerprotections/floridashurricanedeductible" r:id="rId3"/>
    <hyperlink xmlns:r="http://schemas.openxmlformats.org/officeDocument/2006/relationships" ref="F5" display="https://www.myfloridacfo.com/division/consumers/consumerprotections/floridashurricanedeductible" r:id="rId4"/>
    <hyperlink xmlns:r="http://schemas.openxmlformats.org/officeDocument/2006/relationships" ref="F6" display="https://codes.findlaw.com/fl/title-xxxvii-insurance/fl-st-sect-627-701/" r:id="rId5"/>
    <hyperlink xmlns:r="http://schemas.openxmlformats.org/officeDocument/2006/relationships" ref="F7" display="https://codes.findlaw.com/fl/title-xxxvii-insurance/fl-st-sect-627-701/" r:id="rId6"/>
    <hyperlink xmlns:r="http://schemas.openxmlformats.org/officeDocument/2006/relationships" ref="F8" display="https://coverageclassroom.com/learn/hurricane-insurance-florida-guide" r:id="rId7"/>
    <hyperlink xmlns:r="http://schemas.openxmlformats.org/officeDocument/2006/relationships" ref="F9" display="https://coverageclassroom.com/learn/citizens-flood-insurance-requirement" r:id="rId8"/>
    <hyperlink xmlns:r="http://schemas.openxmlformats.org/officeDocument/2006/relationships" ref="F10" display="https://www.cigflorida.com/policy-updates-for-florida-homeowners/" r:id="rId9"/>
    <hyperlink xmlns:r="http://schemas.openxmlformats.org/officeDocument/2006/relationships" ref="F11" display="https://www.cigflorida.com/policy-updates-for-florida-homeowners/" r:id="rId10"/>
    <hyperlink xmlns:r="http://schemas.openxmlformats.org/officeDocument/2006/relationships" ref="F12" display="https://coverageclassroom.com/learn/citizens-flood-insurance-requirement" r:id="rId11"/>
    <hyperlink xmlns:r="http://schemas.openxmlformats.org/officeDocument/2006/relationships" ref="F13" display="https://coverageclassroom.com/learn/hurricane-insurance-florida-guide" r:id="rId1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P5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0" customWidth="1" style="28" min="1" max="1"/>
    <col width="12" customWidth="1" style="28" min="2" max="4"/>
    <col width="14" customWidth="1" style="28" min="5" max="5"/>
    <col width="28" customWidth="1" style="28" min="6" max="6"/>
    <col width="18" customWidth="1" style="28" min="7" max="7"/>
    <col width="28" customWidth="1" style="28" min="8" max="8"/>
    <col width="34" customWidth="1" style="28" min="9" max="9"/>
    <col width="42" customWidth="1" style="28" min="10" max="10"/>
    <col width="12" customWidth="1" style="28" min="11" max="11"/>
    <col width="16" customWidth="1" style="28" min="12" max="12"/>
    <col width="24" customWidth="1" style="28" min="13" max="13"/>
    <col width="20" customWidth="1" style="28" min="14" max="14"/>
    <col width="12" customWidth="1" style="28" min="15" max="15"/>
    <col width="60" customWidth="1" style="28" min="16" max="16"/>
  </cols>
  <sheetData>
    <row r="1" ht="31.5" customHeight="1" s="29">
      <c r="A1" s="40" t="inlineStr">
        <is>
          <t>State</t>
        </is>
      </c>
      <c r="B1" s="40" t="inlineStr">
        <is>
          <t>BI Per Person ($k)</t>
        </is>
      </c>
      <c r="C1" s="40" t="inlineStr">
        <is>
          <t>BI Per Accident ($k)</t>
        </is>
      </c>
      <c r="D1" s="40" t="inlineStr">
        <is>
          <t>PD ($k)</t>
        </is>
      </c>
      <c r="E1" s="40" t="inlineStr">
        <is>
          <t>Fault System</t>
        </is>
      </c>
      <c r="F1" s="40" t="inlineStr">
        <is>
          <t>PIP / MedPay</t>
        </is>
      </c>
      <c r="G1" s="40" t="inlineStr">
        <is>
          <t>UM/UIM</t>
        </is>
      </c>
      <c r="H1" s="40" t="inlineStr">
        <is>
          <t>Change Note</t>
        </is>
      </c>
      <c r="I1" s="40" t="inlineStr">
        <is>
          <t>Source</t>
        </is>
      </c>
      <c r="J1" s="40" t="inlineStr">
        <is>
          <t>Source URL</t>
        </is>
      </c>
      <c r="K1" s="40" t="inlineStr">
        <is>
          <t>Date Collected</t>
        </is>
      </c>
      <c r="L1" s="40" t="inlineStr">
        <is>
          <t>Geographic Scope</t>
        </is>
      </c>
      <c r="M1" s="40" t="inlineStr">
        <is>
          <t>Data Type</t>
        </is>
      </c>
      <c r="N1" s="40" t="inlineStr">
        <is>
          <t>Verification Status</t>
        </is>
      </c>
      <c r="O1" s="40" t="inlineStr">
        <is>
          <t>Last Updated</t>
        </is>
      </c>
      <c r="P1" s="40" t="inlineStr">
        <is>
          <t>Notes</t>
        </is>
      </c>
    </row>
    <row r="2" ht="15" customHeight="1" s="29">
      <c r="A2" s="41" t="inlineStr">
        <is>
          <t>Alabama</t>
        </is>
      </c>
      <c r="B2" s="41" t="n"/>
      <c r="C2" s="41" t="n"/>
      <c r="D2" s="41" t="n"/>
      <c r="E2" s="41" t="n"/>
      <c r="F2" s="41" t="n"/>
      <c r="G2" s="41" t="n"/>
      <c r="H2" s="41" t="n"/>
      <c r="I2" s="41" t="n"/>
      <c r="J2" s="42" t="n"/>
      <c r="K2" s="43" t="n">
        <v>46295</v>
      </c>
      <c r="L2" s="41" t="inlineStr">
        <is>
          <t>Alabama</t>
        </is>
      </c>
      <c r="M2" s="41" t="inlineStr">
        <is>
          <t>Placeholder</t>
        </is>
      </c>
      <c r="N2" s="47" t="inlineStr">
        <is>
          <t>Not researched</t>
        </is>
      </c>
      <c r="O2" s="43" t="n">
        <v>46295</v>
      </c>
      <c r="P2" s="41" t="inlineStr">
        <is>
          <t>To research: check state DOI/DMV for current limits.</t>
        </is>
      </c>
    </row>
    <row r="3" ht="23.85" customHeight="1" s="29">
      <c r="A3" s="41" t="inlineStr">
        <is>
          <t>Alaska</t>
        </is>
      </c>
      <c r="B3" s="41" t="n">
        <v>50</v>
      </c>
      <c r="C3" s="41" t="n">
        <v>100</v>
      </c>
      <c r="D3" s="41" t="n">
        <v>25</v>
      </c>
      <c r="E3" s="41" t="n"/>
      <c r="F3" s="41" t="n"/>
      <c r="G3" s="41" t="n"/>
      <c r="H3" s="41" t="n"/>
      <c r="I3" s="41" t="inlineStr">
        <is>
          <t>Insurance Geek - Minimum limits by state (Apr 2026)</t>
        </is>
      </c>
      <c r="J3" s="42" t="inlineStr">
        <is>
          <t>https://www.insurancegeek.com/auto-insurance/state-minimum-car-insurance-limits/</t>
        </is>
      </c>
      <c r="K3" s="43" t="n">
        <v>46295</v>
      </c>
      <c r="L3" s="41" t="inlineStr">
        <is>
          <t>Alaska</t>
        </is>
      </c>
      <c r="M3" s="41" t="inlineStr">
        <is>
          <t>Reference data (secondary source)</t>
        </is>
      </c>
      <c r="N3" s="45" t="inlineStr">
        <is>
          <t>Secondary - unverified</t>
        </is>
      </c>
      <c r="O3" s="43" t="n">
        <v>46295</v>
      </c>
      <c r="P3" s="41" t="inlineStr">
        <is>
          <t>Described as among the highest minimums.</t>
        </is>
      </c>
    </row>
    <row r="4" ht="15" customHeight="1" s="29">
      <c r="A4" s="41" t="inlineStr">
        <is>
          <t>Arizona</t>
        </is>
      </c>
      <c r="B4" s="41" t="n"/>
      <c r="C4" s="41" t="n"/>
      <c r="D4" s="41" t="n"/>
      <c r="E4" s="41" t="n"/>
      <c r="F4" s="41" t="n"/>
      <c r="G4" s="41" t="n"/>
      <c r="H4" s="41" t="n"/>
      <c r="I4" s="41" t="n"/>
      <c r="J4" s="42" t="n"/>
      <c r="K4" s="43" t="n">
        <v>46295</v>
      </c>
      <c r="L4" s="41" t="inlineStr">
        <is>
          <t>Arizona</t>
        </is>
      </c>
      <c r="M4" s="41" t="inlineStr">
        <is>
          <t>Placeholder</t>
        </is>
      </c>
      <c r="N4" s="47" t="inlineStr">
        <is>
          <t>Not researched</t>
        </is>
      </c>
      <c r="O4" s="43" t="n">
        <v>46295</v>
      </c>
      <c r="P4" s="41" t="inlineStr">
        <is>
          <t>To research: check state DOI/DMV for current limits.</t>
        </is>
      </c>
    </row>
    <row r="5" ht="15" customHeight="1" s="29">
      <c r="A5" s="41" t="inlineStr">
        <is>
          <t>Arkansas</t>
        </is>
      </c>
      <c r="B5" s="41" t="n"/>
      <c r="C5" s="41" t="n"/>
      <c r="D5" s="41" t="n"/>
      <c r="E5" s="41" t="n"/>
      <c r="F5" s="41" t="n"/>
      <c r="G5" s="41" t="n"/>
      <c r="H5" s="41" t="n"/>
      <c r="I5" s="41" t="n"/>
      <c r="J5" s="42" t="n"/>
      <c r="K5" s="43" t="n">
        <v>46295</v>
      </c>
      <c r="L5" s="41" t="inlineStr">
        <is>
          <t>Arkansas</t>
        </is>
      </c>
      <c r="M5" s="41" t="inlineStr">
        <is>
          <t>Placeholder</t>
        </is>
      </c>
      <c r="N5" s="47" t="inlineStr">
        <is>
          <t>Not researched</t>
        </is>
      </c>
      <c r="O5" s="43" t="n">
        <v>46295</v>
      </c>
      <c r="P5" s="41" t="inlineStr">
        <is>
          <t>To research: check state DOI/DMV for current limits.</t>
        </is>
      </c>
    </row>
    <row r="6" ht="46.25" customHeight="1" s="29">
      <c r="A6" s="41" t="inlineStr">
        <is>
          <t>California</t>
        </is>
      </c>
      <c r="B6" s="41" t="n">
        <v>30</v>
      </c>
      <c r="C6" s="41" t="n">
        <v>60</v>
      </c>
      <c r="D6" s="41" t="n">
        <v>15</v>
      </c>
      <c r="E6" s="41" t="inlineStr">
        <is>
          <t>Comparative negligence (per CDI)</t>
        </is>
      </c>
      <c r="F6" s="41" t="inlineStr">
        <is>
          <t>MedPay optional; minimum purchasable limit $1,000 per person</t>
        </is>
      </c>
      <c r="G6" s="41" t="inlineStr">
        <is>
          <t>UM/UIM must be offered; can be declined by signed waiver</t>
        </is>
      </c>
      <c r="H6" s="41" t="inlineStr">
        <is>
          <t>SB 1107: increased limits begin 2025</t>
        </is>
      </c>
      <c r="I6" s="41" t="inlineStr">
        <is>
          <t>CA DMV - Auto Insurance Requirements (modified Jul 10, 2025)</t>
        </is>
      </c>
      <c r="J6" s="42" t="inlineStr">
        <is>
          <t>https://www.dmv.ca.gov/portal/vehicle-registration/insurance-requirements/</t>
        </is>
      </c>
      <c r="K6" s="43" t="n">
        <v>46295</v>
      </c>
      <c r="L6" s="41" t="inlineStr">
        <is>
          <t>California</t>
        </is>
      </c>
      <c r="M6" s="41" t="inlineStr">
        <is>
          <t>Reference data (secondary source)</t>
        </is>
      </c>
      <c r="N6" s="44" t="inlineStr">
        <is>
          <t>Primary source</t>
        </is>
      </c>
      <c r="O6" s="43" t="n">
        <v>46295</v>
      </c>
      <c r="P6" s="41" t="inlineStr">
        <is>
          <t>Verified on DMV and CDI pages (Insurance Code section 11580.1(b)). Policies renew at new limits (per law-firm summaries, secondary). See CA Auto Verified tab.</t>
        </is>
      </c>
    </row>
    <row r="7" ht="15" customHeight="1" s="29">
      <c r="A7" s="41" t="inlineStr">
        <is>
          <t>Colorado</t>
        </is>
      </c>
      <c r="B7" s="41" t="n"/>
      <c r="C7" s="41" t="n"/>
      <c r="D7" s="41" t="n"/>
      <c r="E7" s="41" t="n"/>
      <c r="F7" s="41" t="n"/>
      <c r="G7" s="41" t="n"/>
      <c r="H7" s="41" t="n"/>
      <c r="I7" s="41" t="n"/>
      <c r="J7" s="42" t="n"/>
      <c r="K7" s="43" t="n">
        <v>46295</v>
      </c>
      <c r="L7" s="41" t="inlineStr">
        <is>
          <t>Colorado</t>
        </is>
      </c>
      <c r="M7" s="41" t="inlineStr">
        <is>
          <t>Placeholder</t>
        </is>
      </c>
      <c r="N7" s="47" t="inlineStr">
        <is>
          <t>Not researched</t>
        </is>
      </c>
      <c r="O7" s="43" t="n">
        <v>46295</v>
      </c>
      <c r="P7" s="41" t="inlineStr">
        <is>
          <t>To research: check state DOI/DMV for current limits.</t>
        </is>
      </c>
    </row>
    <row r="8" ht="15" customHeight="1" s="29">
      <c r="A8" s="41" t="inlineStr">
        <is>
          <t>Connecticut</t>
        </is>
      </c>
      <c r="B8" s="41" t="n"/>
      <c r="C8" s="41" t="n"/>
      <c r="D8" s="41" t="n"/>
      <c r="E8" s="41" t="n"/>
      <c r="F8" s="41" t="n"/>
      <c r="G8" s="41" t="n"/>
      <c r="H8" s="41" t="n"/>
      <c r="I8" s="41" t="n"/>
      <c r="J8" s="42" t="n"/>
      <c r="K8" s="43" t="n">
        <v>46295</v>
      </c>
      <c r="L8" s="41" t="inlineStr">
        <is>
          <t>Connecticut</t>
        </is>
      </c>
      <c r="M8" s="41" t="inlineStr">
        <is>
          <t>Placeholder</t>
        </is>
      </c>
      <c r="N8" s="47" t="inlineStr">
        <is>
          <t>Not researched</t>
        </is>
      </c>
      <c r="O8" s="43" t="n">
        <v>46295</v>
      </c>
      <c r="P8" s="41" t="inlineStr">
        <is>
          <t>To research: check state DOI/DMV for current limits.</t>
        </is>
      </c>
    </row>
    <row r="9" ht="15" customHeight="1" s="29">
      <c r="A9" s="41" t="inlineStr">
        <is>
          <t>Delaware</t>
        </is>
      </c>
      <c r="B9" s="41" t="n"/>
      <c r="C9" s="41" t="n"/>
      <c r="D9" s="41" t="n"/>
      <c r="E9" s="41" t="n"/>
      <c r="F9" s="41" t="n"/>
      <c r="G9" s="41" t="n"/>
      <c r="H9" s="41" t="n"/>
      <c r="I9" s="41" t="n"/>
      <c r="J9" s="42" t="n"/>
      <c r="K9" s="43" t="n">
        <v>46295</v>
      </c>
      <c r="L9" s="41" t="inlineStr">
        <is>
          <t>Delaware</t>
        </is>
      </c>
      <c r="M9" s="41" t="inlineStr">
        <is>
          <t>Placeholder</t>
        </is>
      </c>
      <c r="N9" s="47" t="inlineStr">
        <is>
          <t>Not researched</t>
        </is>
      </c>
      <c r="O9" s="43" t="n">
        <v>46295</v>
      </c>
      <c r="P9" s="41" t="inlineStr">
        <is>
          <t>To research: check state DOI/DMV for current limits.</t>
        </is>
      </c>
    </row>
    <row r="10" ht="23.85" customHeight="1" s="29">
      <c r="A10" s="41" t="inlineStr">
        <is>
          <t>District of Columbia</t>
        </is>
      </c>
      <c r="B10" s="41" t="n"/>
      <c r="C10" s="41" t="n"/>
      <c r="D10" s="41" t="n"/>
      <c r="E10" s="41" t="n"/>
      <c r="F10" s="41" t="n"/>
      <c r="G10" s="41" t="n"/>
      <c r="H10" s="41" t="n"/>
      <c r="I10" s="41" t="n"/>
      <c r="J10" s="42" t="n"/>
      <c r="K10" s="43" t="n">
        <v>46295</v>
      </c>
      <c r="L10" s="41" t="inlineStr">
        <is>
          <t>District of Columbia</t>
        </is>
      </c>
      <c r="M10" s="41" t="inlineStr">
        <is>
          <t>Placeholder</t>
        </is>
      </c>
      <c r="N10" s="47" t="inlineStr">
        <is>
          <t>Not researched</t>
        </is>
      </c>
      <c r="O10" s="43" t="n">
        <v>46295</v>
      </c>
      <c r="P10" s="41" t="inlineStr">
        <is>
          <t>To research: check state DOI/DMV for current limits.</t>
        </is>
      </c>
    </row>
    <row r="11" ht="46.25" customHeight="1" s="29">
      <c r="A11" s="41" t="inlineStr">
        <is>
          <t>Florida</t>
        </is>
      </c>
      <c r="B11" s="41" t="inlineStr">
        <is>
          <t>None required</t>
        </is>
      </c>
      <c r="C11" s="41" t="inlineStr">
        <is>
          <t>None required</t>
        </is>
      </c>
      <c r="D11" s="41" t="n">
        <v>10</v>
      </c>
      <c r="E11" s="41" t="inlineStr">
        <is>
          <t>No-fault</t>
        </is>
      </c>
      <c r="F11" s="41" t="inlineStr">
        <is>
          <t>PIP $10,000 required (pays 80% of necessary medical expenses regardless of fault)</t>
        </is>
      </c>
      <c r="G11" s="41" t="n"/>
      <c r="H11" s="41" t="n"/>
      <c r="I11" s="41" t="inlineStr">
        <is>
          <t>Florida DHSMV - Florida Insurance Requirements</t>
        </is>
      </c>
      <c r="J11" s="42" t="inlineStr">
        <is>
          <t>https://www.flhsmv.gov/insurance/</t>
        </is>
      </c>
      <c r="K11" s="43" t="n">
        <v>46295</v>
      </c>
      <c r="L11" s="41" t="inlineStr">
        <is>
          <t>Florida</t>
        </is>
      </c>
      <c r="M11" s="41" t="inlineStr">
        <is>
          <t>Reference data (secondary source)</t>
        </is>
      </c>
      <c r="N11" s="44" t="inlineStr">
        <is>
          <t>Primary source</t>
        </is>
      </c>
      <c r="O11" s="43" t="n">
        <v>46295</v>
      </c>
      <c r="P11" s="41" t="inlineStr">
        <is>
          <t>FLHSMV: PIP and PDL required to register vehicles with 4+ wheels; BI not required for most private vehicles (taxis: 125/250/50). After a crash, the Financial Responsibility Law can require BI proof of 10/20. See FL Auto Verified.</t>
        </is>
      </c>
    </row>
    <row r="12" ht="15" customHeight="1" s="29">
      <c r="A12" s="41" t="inlineStr">
        <is>
          <t>Georgia</t>
        </is>
      </c>
      <c r="B12" s="41" t="n">
        <v>25</v>
      </c>
      <c r="C12" s="41" t="n">
        <v>50</v>
      </c>
      <c r="D12" s="41" t="n">
        <v>25</v>
      </c>
      <c r="E12" s="41" t="n"/>
      <c r="F12" s="41" t="inlineStr">
        <is>
          <t>Medical Payments optional, in varying amounts</t>
        </is>
      </c>
      <c r="G12" s="41" t="inlineStr">
        <is>
          <t>Uninsured motorist coverage optional</t>
        </is>
      </c>
      <c r="H12" s="41" t="n"/>
      <c r="I12" s="41" t="inlineStr">
        <is>
          <t>Georgia OCI - Consumer Guide for Automobile Insurance</t>
        </is>
      </c>
      <c r="J12" s="42" t="inlineStr">
        <is>
          <t>https://oci.georgia.gov/document/document/guide-auto-insurance/download</t>
        </is>
      </c>
      <c r="K12" s="43" t="n">
        <v>46296</v>
      </c>
      <c r="L12" s="41" t="inlineStr">
        <is>
          <t>Georgia</t>
        </is>
      </c>
      <c r="M12" s="41" t="inlineStr">
        <is>
          <t>Regulator-published</t>
        </is>
      </c>
      <c r="N12" s="47" t="inlineStr">
        <is>
          <t>Primary source</t>
        </is>
      </c>
      <c r="O12" s="43" t="n">
        <v>46296</v>
      </c>
      <c r="P12" s="41" t="inlineStr">
        <is>
          <t>To research: check state DOI/DMV for current limits.</t>
        </is>
      </c>
    </row>
    <row r="13" ht="23.85" customHeight="1" s="29">
      <c r="A13" s="41" t="inlineStr">
        <is>
          <t>Hawaii</t>
        </is>
      </c>
      <c r="B13" s="41" t="n">
        <v>40</v>
      </c>
      <c r="C13" s="41" t="n">
        <v>80</v>
      </c>
      <c r="D13" s="41" t="n">
        <v>20</v>
      </c>
      <c r="E13" s="41" t="n"/>
      <c r="F13" s="41" t="n"/>
      <c r="G13" s="41" t="n"/>
      <c r="H13" s="41" t="inlineStr">
        <is>
          <t>Single source says minimums rise from 20/40/10 to 40/80/20 in 2026</t>
        </is>
      </c>
      <c r="I13" s="41" t="inlineStr">
        <is>
          <t>Beach Insurance LLC - State minimums 2026</t>
        </is>
      </c>
      <c r="J13" s="42" t="inlineStr">
        <is>
          <t>https://beachinsurancellc.com/blog/state-minimum-car-insurance-requirements-for-2026-your-essential-guide</t>
        </is>
      </c>
      <c r="K13" s="43" t="n">
        <v>46295</v>
      </c>
      <c r="L13" s="41" t="inlineStr">
        <is>
          <t>Hawaii</t>
        </is>
      </c>
      <c r="M13" s="41" t="inlineStr">
        <is>
          <t>Reference data (secondary source)</t>
        </is>
      </c>
      <c r="N13" s="45" t="inlineStr">
        <is>
          <t>Secondary - unverified</t>
        </is>
      </c>
      <c r="O13" s="43" t="n">
        <v>46295</v>
      </c>
      <c r="P13" s="41" t="inlineStr">
        <is>
          <t>Only one source found for the 2026 change; verify with Hawaii Insurance Division.</t>
        </is>
      </c>
    </row>
    <row r="14" ht="15" customHeight="1" s="29">
      <c r="A14" s="41" t="inlineStr">
        <is>
          <t>Idaho</t>
        </is>
      </c>
      <c r="B14" s="41" t="n"/>
      <c r="C14" s="41" t="n"/>
      <c r="D14" s="41" t="n"/>
      <c r="E14" s="41" t="n"/>
      <c r="F14" s="41" t="n"/>
      <c r="G14" s="41" t="n"/>
      <c r="H14" s="41" t="n"/>
      <c r="I14" s="41" t="n"/>
      <c r="J14" s="42" t="n"/>
      <c r="K14" s="43" t="n">
        <v>46295</v>
      </c>
      <c r="L14" s="41" t="inlineStr">
        <is>
          <t>Idaho</t>
        </is>
      </c>
      <c r="M14" s="41" t="inlineStr">
        <is>
          <t>Placeholder</t>
        </is>
      </c>
      <c r="N14" s="47" t="inlineStr">
        <is>
          <t>Not researched</t>
        </is>
      </c>
      <c r="O14" s="43" t="n">
        <v>46295</v>
      </c>
      <c r="P14" s="41" t="inlineStr">
        <is>
          <t>To research: check state DOI/DMV for current limits.</t>
        </is>
      </c>
    </row>
    <row r="15" ht="15" customHeight="1" s="29">
      <c r="A15" s="41" t="inlineStr">
        <is>
          <t>Illinois</t>
        </is>
      </c>
      <c r="B15" s="41" t="n">
        <v>25</v>
      </c>
      <c r="C15" s="41" t="n">
        <v>50</v>
      </c>
      <c r="D15" s="41" t="n">
        <v>20</v>
      </c>
      <c r="E15" s="41" t="n"/>
      <c r="F15" s="41" t="inlineStr">
        <is>
          <t>Medical payments optional (no PIP/no-fault requirement)</t>
        </is>
      </c>
      <c r="G15" s="41" t="inlineStr">
        <is>
          <t>UM bodily injury required at $25,000/$50,000 (same as liability minimums); UIM mandatory when buying higher UM limits; UMPD optional, insurer must offer with a max $250 deductible</t>
        </is>
      </c>
      <c r="H15" s="41" t="n"/>
      <c r="I15" s="41" t="inlineStr">
        <is>
          <t>Illinois Dept of Insurance - Auto Insurance Shopping Guide</t>
        </is>
      </c>
      <c r="J15" s="42" t="inlineStr">
        <is>
          <t>https://idoi.illinois.gov/consumers/consumerinsurance/auto-insurance-shopping-guide.html</t>
        </is>
      </c>
      <c r="K15" s="43" t="n">
        <v>46296</v>
      </c>
      <c r="L15" s="41" t="inlineStr">
        <is>
          <t>Illinois</t>
        </is>
      </c>
      <c r="M15" s="41" t="inlineStr">
        <is>
          <t>Regulator-published</t>
        </is>
      </c>
      <c r="N15" s="47" t="inlineStr">
        <is>
          <t>Primary source</t>
        </is>
      </c>
      <c r="O15" s="43" t="n">
        <v>46296</v>
      </c>
      <c r="P15" s="41" t="inlineStr">
        <is>
          <t>To research: check state DOI/DMV for current limits.</t>
        </is>
      </c>
    </row>
    <row r="16" ht="15" customHeight="1" s="29">
      <c r="A16" s="41" t="inlineStr">
        <is>
          <t>Indiana</t>
        </is>
      </c>
      <c r="B16" s="41" t="n"/>
      <c r="C16" s="41" t="n"/>
      <c r="D16" s="41" t="n"/>
      <c r="E16" s="41" t="n"/>
      <c r="F16" s="41" t="n"/>
      <c r="G16" s="41" t="n"/>
      <c r="H16" s="41" t="n"/>
      <c r="I16" s="41" t="n"/>
      <c r="J16" s="42" t="n"/>
      <c r="K16" s="43" t="n">
        <v>46295</v>
      </c>
      <c r="L16" s="41" t="inlineStr">
        <is>
          <t>Indiana</t>
        </is>
      </c>
      <c r="M16" s="41" t="inlineStr">
        <is>
          <t>Placeholder</t>
        </is>
      </c>
      <c r="N16" s="47" t="inlineStr">
        <is>
          <t>Not researched</t>
        </is>
      </c>
      <c r="O16" s="43" t="n">
        <v>46295</v>
      </c>
      <c r="P16" s="41" t="inlineStr">
        <is>
          <t>To research: check state DOI/DMV for current limits.</t>
        </is>
      </c>
    </row>
    <row r="17" ht="23.85" customHeight="1" s="29">
      <c r="A17" s="41" t="inlineStr">
        <is>
          <t>Iowa</t>
        </is>
      </c>
      <c r="B17" s="41" t="n">
        <v>20</v>
      </c>
      <c r="C17" s="41" t="n">
        <v>40</v>
      </c>
      <c r="D17" s="41" t="n">
        <v>15</v>
      </c>
      <c r="E17" s="41" t="n"/>
      <c r="F17" s="41" t="n"/>
      <c r="G17" s="41" t="n"/>
      <c r="H17" s="41" t="n"/>
      <c r="I17" s="41" t="inlineStr">
        <is>
          <t>Coverage Criteria - Minimum auto insurance by state (Feb 2026)</t>
        </is>
      </c>
      <c r="J17" s="42" t="inlineStr">
        <is>
          <t>https://coveragecriteria.com/articles/minimum-auto-insurance-by-state</t>
        </is>
      </c>
      <c r="K17" s="43" t="n">
        <v>46295</v>
      </c>
      <c r="L17" s="41" t="inlineStr">
        <is>
          <t>Iowa</t>
        </is>
      </c>
      <c r="M17" s="41" t="inlineStr">
        <is>
          <t>Reference data (secondary source)</t>
        </is>
      </c>
      <c r="N17" s="45" t="inlineStr">
        <is>
          <t>Secondary - unverified</t>
        </is>
      </c>
      <c r="O17" s="43" t="n">
        <v>46295</v>
      </c>
      <c r="P17" s="41" t="inlineStr">
        <is>
          <t>Among the lowest bodily injury minimums.</t>
        </is>
      </c>
    </row>
    <row r="18" ht="15" customHeight="1" s="29">
      <c r="A18" s="41" t="inlineStr">
        <is>
          <t>Kansas</t>
        </is>
      </c>
      <c r="B18" s="41" t="n"/>
      <c r="C18" s="41" t="n"/>
      <c r="D18" s="41" t="n"/>
      <c r="E18" s="41" t="n"/>
      <c r="F18" s="41" t="n"/>
      <c r="G18" s="41" t="n"/>
      <c r="H18" s="41" t="n"/>
      <c r="I18" s="41" t="n"/>
      <c r="J18" s="42" t="n"/>
      <c r="K18" s="43" t="n">
        <v>46295</v>
      </c>
      <c r="L18" s="41" t="inlineStr">
        <is>
          <t>Kansas</t>
        </is>
      </c>
      <c r="M18" s="41" t="inlineStr">
        <is>
          <t>Placeholder</t>
        </is>
      </c>
      <c r="N18" s="47" t="inlineStr">
        <is>
          <t>Not researched</t>
        </is>
      </c>
      <c r="O18" s="43" t="n">
        <v>46295</v>
      </c>
      <c r="P18" s="41" t="inlineStr">
        <is>
          <t>To research: check state DOI/DMV for current limits.</t>
        </is>
      </c>
    </row>
    <row r="19" ht="23.85" customHeight="1" s="29">
      <c r="A19" s="41" t="inlineStr">
        <is>
          <t>Kentucky</t>
        </is>
      </c>
      <c r="B19" s="41" t="n">
        <v>25</v>
      </c>
      <c r="C19" s="41" t="n">
        <v>50</v>
      </c>
      <c r="D19" s="41" t="n">
        <v>25</v>
      </c>
      <c r="E19" s="41" t="n"/>
      <c r="F19" s="41" t="inlineStr">
        <is>
          <t>Basic PIP included (per source)</t>
        </is>
      </c>
      <c r="G19" s="41" t="n"/>
      <c r="H19" s="41" t="n"/>
      <c r="I19" s="41" t="inlineStr">
        <is>
          <t>AutoInsurance.org - Requirements by state</t>
        </is>
      </c>
      <c r="J19" s="42" t="inlineStr">
        <is>
          <t>https://www.autoinsurance.org/car-insurance-requirements/</t>
        </is>
      </c>
      <c r="K19" s="43" t="n">
        <v>46295</v>
      </c>
      <c r="L19" s="41" t="inlineStr">
        <is>
          <t>Kentucky</t>
        </is>
      </c>
      <c r="M19" s="41" t="inlineStr">
        <is>
          <t>Reference data (secondary source)</t>
        </is>
      </c>
      <c r="N19" s="45" t="inlineStr">
        <is>
          <t>Secondary - unverified</t>
        </is>
      </c>
      <c r="O19" s="43" t="n">
        <v>46295</v>
      </c>
      <c r="P19" s="41" t="n"/>
    </row>
    <row r="20" ht="23.85" customHeight="1" s="29">
      <c r="A20" s="41" t="inlineStr">
        <is>
          <t>Louisiana</t>
        </is>
      </c>
      <c r="B20" s="41" t="n">
        <v>15</v>
      </c>
      <c r="C20" s="41" t="n">
        <v>30</v>
      </c>
      <c r="D20" s="41" t="n">
        <v>25</v>
      </c>
      <c r="E20" s="41" t="n"/>
      <c r="F20" s="41" t="n"/>
      <c r="G20" s="41" t="n"/>
      <c r="H20" s="41" t="n"/>
      <c r="I20" s="41" t="inlineStr">
        <is>
          <t>Coverage Criteria - Minimum auto insurance by state (Feb 2026)</t>
        </is>
      </c>
      <c r="J20" s="42" t="inlineStr">
        <is>
          <t>https://coveragecriteria.com/articles/minimum-auto-insurance-by-state</t>
        </is>
      </c>
      <c r="K20" s="43" t="n">
        <v>46295</v>
      </c>
      <c r="L20" s="41" t="inlineStr">
        <is>
          <t>Louisiana</t>
        </is>
      </c>
      <c r="M20" s="41" t="inlineStr">
        <is>
          <t>Reference data (secondary source)</t>
        </is>
      </c>
      <c r="N20" s="45" t="inlineStr">
        <is>
          <t>Secondary - unverified</t>
        </is>
      </c>
      <c r="O20" s="43" t="n">
        <v>46295</v>
      </c>
      <c r="P20" s="41" t="inlineStr">
        <is>
          <t>Among the lowest bodily injury minimums.</t>
        </is>
      </c>
    </row>
    <row r="21" ht="23.85" customHeight="1" s="29">
      <c r="A21" s="41" t="inlineStr">
        <is>
          <t>Maine</t>
        </is>
      </c>
      <c r="B21" s="41" t="n">
        <v>50</v>
      </c>
      <c r="C21" s="41" t="n">
        <v>100</v>
      </c>
      <c r="D21" s="41" t="n">
        <v>25</v>
      </c>
      <c r="E21" s="41" t="n"/>
      <c r="F21" s="41" t="inlineStr">
        <is>
          <t>MedPay required (per Beach Insurance)</t>
        </is>
      </c>
      <c r="G21" s="41" t="n"/>
      <c r="H21" s="41" t="n"/>
      <c r="I21" s="41" t="inlineStr">
        <is>
          <t>Insurance Geek - Minimum limits by state (Apr 2026)</t>
        </is>
      </c>
      <c r="J21" s="42" t="inlineStr">
        <is>
          <t>https://www.insurancegeek.com/auto-insurance/state-minimum-car-insurance-limits/</t>
        </is>
      </c>
      <c r="K21" s="43" t="n">
        <v>46295</v>
      </c>
      <c r="L21" s="41" t="inlineStr">
        <is>
          <t>Maine</t>
        </is>
      </c>
      <c r="M21" s="41" t="inlineStr">
        <is>
          <t>Reference data (secondary source)</t>
        </is>
      </c>
      <c r="N21" s="45" t="inlineStr">
        <is>
          <t>Secondary - unverified</t>
        </is>
      </c>
      <c r="O21" s="43" t="n">
        <v>46295</v>
      </c>
      <c r="P21" s="41" t="n"/>
    </row>
    <row r="22" ht="15" customHeight="1" s="29">
      <c r="A22" s="41" t="inlineStr">
        <is>
          <t>Maryland</t>
        </is>
      </c>
      <c r="B22" s="41" t="n"/>
      <c r="C22" s="41" t="n"/>
      <c r="D22" s="41" t="n"/>
      <c r="E22" s="41" t="n"/>
      <c r="F22" s="41" t="n"/>
      <c r="G22" s="41" t="n"/>
      <c r="H22" s="41" t="n"/>
      <c r="I22" s="41" t="n"/>
      <c r="J22" s="42" t="n"/>
      <c r="K22" s="43" t="n">
        <v>46295</v>
      </c>
      <c r="L22" s="41" t="inlineStr">
        <is>
          <t>Maryland</t>
        </is>
      </c>
      <c r="M22" s="41" t="inlineStr">
        <is>
          <t>Placeholder</t>
        </is>
      </c>
      <c r="N22" s="47" t="inlineStr">
        <is>
          <t>Not researched</t>
        </is>
      </c>
      <c r="O22" s="43" t="n">
        <v>46295</v>
      </c>
      <c r="P22" s="41" t="inlineStr">
        <is>
          <t>To research: check state DOI/DMV for current limits.</t>
        </is>
      </c>
    </row>
    <row r="23" ht="15" customHeight="1" s="29">
      <c r="A23" s="41" t="inlineStr">
        <is>
          <t>Massachusetts</t>
        </is>
      </c>
      <c r="B23" s="41" t="n"/>
      <c r="C23" s="41" t="n"/>
      <c r="D23" s="41" t="n"/>
      <c r="E23" s="41" t="n"/>
      <c r="F23" s="41" t="n"/>
      <c r="G23" s="41" t="n"/>
      <c r="H23" s="41" t="n"/>
      <c r="I23" s="41" t="n"/>
      <c r="J23" s="42" t="n"/>
      <c r="K23" s="43" t="n">
        <v>46295</v>
      </c>
      <c r="L23" s="41" t="inlineStr">
        <is>
          <t>Massachusetts</t>
        </is>
      </c>
      <c r="M23" s="41" t="inlineStr">
        <is>
          <t>Placeholder</t>
        </is>
      </c>
      <c r="N23" s="47" t="inlineStr">
        <is>
          <t>Not researched</t>
        </is>
      </c>
      <c r="O23" s="43" t="n">
        <v>46295</v>
      </c>
      <c r="P23" s="41" t="inlineStr">
        <is>
          <t>To research: check state DOI/DMV for current limits.</t>
        </is>
      </c>
    </row>
    <row r="24" ht="35.05" customHeight="1" s="29">
      <c r="A24" s="41" t="inlineStr">
        <is>
          <t>Michigan</t>
        </is>
      </c>
      <c r="B24" s="41" t="n">
        <v>50</v>
      </c>
      <c r="C24" s="41" t="n">
        <v>100</v>
      </c>
      <c r="D24" s="41" t="inlineStr">
        <is>
          <t>Not captured</t>
        </is>
      </c>
      <c r="E24" s="41" t="inlineStr">
        <is>
          <t>No-fault</t>
        </is>
      </c>
      <c r="F24" s="41" t="inlineStr">
        <is>
          <t>Tiered PIP; options from $50,000 up to unlimited medical (2020 reform)</t>
        </is>
      </c>
      <c r="G24" s="41" t="n"/>
      <c r="H24" s="41" t="n"/>
      <c r="I24" s="41" t="inlineStr">
        <is>
          <t>Coverage Criteria - Minimum auto insurance by state (Feb 2026)</t>
        </is>
      </c>
      <c r="J24" s="42" t="inlineStr">
        <is>
          <t>https://coveragecriteria.com/articles/minimum-auto-insurance-by-state</t>
        </is>
      </c>
      <c r="K24" s="43" t="n">
        <v>46295</v>
      </c>
      <c r="L24" s="41" t="inlineStr">
        <is>
          <t>Michigan</t>
        </is>
      </c>
      <c r="M24" s="41" t="inlineStr">
        <is>
          <t>Reference data (secondary source)</t>
        </is>
      </c>
      <c r="N24" s="45" t="inlineStr">
        <is>
          <t>Secondary - unverified</t>
        </is>
      </c>
      <c r="O24" s="43" t="n">
        <v>46295</v>
      </c>
      <c r="P24" s="41" t="inlineStr">
        <is>
          <t>PD minimum not captured; complex PIP tiers; verify with DIFS.</t>
        </is>
      </c>
    </row>
    <row r="25" ht="15" customHeight="1" s="29">
      <c r="A25" s="41" t="inlineStr">
        <is>
          <t>Minnesota</t>
        </is>
      </c>
      <c r="B25" s="41" t="n"/>
      <c r="C25" s="41" t="n"/>
      <c r="D25" s="41" t="n"/>
      <c r="E25" s="41" t="n"/>
      <c r="F25" s="41" t="n"/>
      <c r="G25" s="41" t="n"/>
      <c r="H25" s="41" t="n"/>
      <c r="I25" s="41" t="n"/>
      <c r="J25" s="42" t="n"/>
      <c r="K25" s="43" t="n">
        <v>46295</v>
      </c>
      <c r="L25" s="41" t="inlineStr">
        <is>
          <t>Minnesota</t>
        </is>
      </c>
      <c r="M25" s="41" t="inlineStr">
        <is>
          <t>Placeholder</t>
        </is>
      </c>
      <c r="N25" s="47" t="inlineStr">
        <is>
          <t>Not researched</t>
        </is>
      </c>
      <c r="O25" s="43" t="n">
        <v>46295</v>
      </c>
      <c r="P25" s="41" t="inlineStr">
        <is>
          <t>To research: check state DOI/DMV for current limits.</t>
        </is>
      </c>
    </row>
    <row r="26" ht="15" customHeight="1" s="29">
      <c r="A26" s="41" t="inlineStr">
        <is>
          <t>Mississippi</t>
        </is>
      </c>
      <c r="B26" s="41" t="n"/>
      <c r="C26" s="41" t="n"/>
      <c r="D26" s="41" t="n"/>
      <c r="E26" s="41" t="n"/>
      <c r="F26" s="41" t="n"/>
      <c r="G26" s="41" t="n"/>
      <c r="H26" s="41" t="n"/>
      <c r="I26" s="41" t="n"/>
      <c r="J26" s="42" t="n"/>
      <c r="K26" s="43" t="n">
        <v>46295</v>
      </c>
      <c r="L26" s="41" t="inlineStr">
        <is>
          <t>Mississippi</t>
        </is>
      </c>
      <c r="M26" s="41" t="inlineStr">
        <is>
          <t>Placeholder</t>
        </is>
      </c>
      <c r="N26" s="47" t="inlineStr">
        <is>
          <t>Not researched</t>
        </is>
      </c>
      <c r="O26" s="43" t="n">
        <v>46295</v>
      </c>
      <c r="P26" s="41" t="inlineStr">
        <is>
          <t>To research: check state DOI/DMV for current limits.</t>
        </is>
      </c>
    </row>
    <row r="27" ht="15" customHeight="1" s="29">
      <c r="A27" s="41" t="inlineStr">
        <is>
          <t>Missouri</t>
        </is>
      </c>
      <c r="B27" s="41" t="n"/>
      <c r="C27" s="41" t="n"/>
      <c r="D27" s="41" t="n"/>
      <c r="E27" s="41" t="n"/>
      <c r="F27" s="41" t="n"/>
      <c r="G27" s="41" t="n"/>
      <c r="H27" s="41" t="n"/>
      <c r="I27" s="41" t="n"/>
      <c r="J27" s="42" t="n"/>
      <c r="K27" s="43" t="n">
        <v>46295</v>
      </c>
      <c r="L27" s="41" t="inlineStr">
        <is>
          <t>Missouri</t>
        </is>
      </c>
      <c r="M27" s="41" t="inlineStr">
        <is>
          <t>Placeholder</t>
        </is>
      </c>
      <c r="N27" s="47" t="inlineStr">
        <is>
          <t>Not researched</t>
        </is>
      </c>
      <c r="O27" s="43" t="n">
        <v>46295</v>
      </c>
      <c r="P27" s="41" t="inlineStr">
        <is>
          <t>To research: check state DOI/DMV for current limits.</t>
        </is>
      </c>
    </row>
    <row r="28" ht="15" customHeight="1" s="29">
      <c r="A28" s="41" t="inlineStr">
        <is>
          <t>Montana</t>
        </is>
      </c>
      <c r="B28" s="41" t="n"/>
      <c r="C28" s="41" t="n"/>
      <c r="D28" s="41" t="n"/>
      <c r="E28" s="41" t="n"/>
      <c r="F28" s="41" t="n"/>
      <c r="G28" s="41" t="n"/>
      <c r="H28" s="41" t="n"/>
      <c r="I28" s="41" t="n"/>
      <c r="J28" s="42" t="n"/>
      <c r="K28" s="43" t="n">
        <v>46295</v>
      </c>
      <c r="L28" s="41" t="inlineStr">
        <is>
          <t>Montana</t>
        </is>
      </c>
      <c r="M28" s="41" t="inlineStr">
        <is>
          <t>Placeholder</t>
        </is>
      </c>
      <c r="N28" s="47" t="inlineStr">
        <is>
          <t>Not researched</t>
        </is>
      </c>
      <c r="O28" s="43" t="n">
        <v>46295</v>
      </c>
      <c r="P28" s="41" t="inlineStr">
        <is>
          <t>To research: check state DOI/DMV for current limits.</t>
        </is>
      </c>
    </row>
    <row r="29" ht="15" customHeight="1" s="29">
      <c r="A29" s="41" t="inlineStr">
        <is>
          <t>Nebraska</t>
        </is>
      </c>
      <c r="B29" s="41" t="n"/>
      <c r="C29" s="41" t="n"/>
      <c r="D29" s="41" t="n"/>
      <c r="E29" s="41" t="n"/>
      <c r="F29" s="41" t="n"/>
      <c r="G29" s="41" t="n"/>
      <c r="H29" s="41" t="n"/>
      <c r="I29" s="41" t="n"/>
      <c r="J29" s="42" t="n"/>
      <c r="K29" s="43" t="n">
        <v>46295</v>
      </c>
      <c r="L29" s="41" t="inlineStr">
        <is>
          <t>Nebraska</t>
        </is>
      </c>
      <c r="M29" s="41" t="inlineStr">
        <is>
          <t>Placeholder</t>
        </is>
      </c>
      <c r="N29" s="47" t="inlineStr">
        <is>
          <t>Not researched</t>
        </is>
      </c>
      <c r="O29" s="43" t="n">
        <v>46295</v>
      </c>
      <c r="P29" s="41" t="inlineStr">
        <is>
          <t>To research: check state DOI/DMV for current limits.</t>
        </is>
      </c>
    </row>
    <row r="30" ht="15" customHeight="1" s="29">
      <c r="A30" s="41" t="inlineStr">
        <is>
          <t>Nevada</t>
        </is>
      </c>
      <c r="B30" s="41" t="n"/>
      <c r="C30" s="41" t="n"/>
      <c r="D30" s="41" t="n"/>
      <c r="E30" s="41" t="n"/>
      <c r="F30" s="41" t="n"/>
      <c r="G30" s="41" t="n"/>
      <c r="H30" s="41" t="n"/>
      <c r="I30" s="41" t="n"/>
      <c r="J30" s="42" t="n"/>
      <c r="K30" s="43" t="n">
        <v>46295</v>
      </c>
      <c r="L30" s="41" t="inlineStr">
        <is>
          <t>Nevada</t>
        </is>
      </c>
      <c r="M30" s="41" t="inlineStr">
        <is>
          <t>Placeholder</t>
        </is>
      </c>
      <c r="N30" s="47" t="inlineStr">
        <is>
          <t>Not researched</t>
        </is>
      </c>
      <c r="O30" s="43" t="n">
        <v>46295</v>
      </c>
      <c r="P30" s="41" t="inlineStr">
        <is>
          <t>To research: check state DOI/DMV for current limits.</t>
        </is>
      </c>
    </row>
    <row r="31" ht="23.85" customHeight="1" s="29">
      <c r="A31" s="41" t="inlineStr">
        <is>
          <t>New Hampshire</t>
        </is>
      </c>
      <c r="B31" s="41" t="inlineStr">
        <is>
          <t>No mandate</t>
        </is>
      </c>
      <c r="C31" s="41" t="inlineStr">
        <is>
          <t>No mandate</t>
        </is>
      </c>
      <c r="D31" s="41" t="inlineStr">
        <is>
          <t>No mandate</t>
        </is>
      </c>
      <c r="E31" s="41" t="n"/>
      <c r="F31" s="41" t="n"/>
      <c r="G31" s="41" t="n"/>
      <c r="H31" s="41" t="n"/>
      <c r="I31" s="41" t="inlineStr">
        <is>
          <t>CNBC Select - State minimum requirements</t>
        </is>
      </c>
      <c r="J31" s="42" t="inlineStr">
        <is>
          <t>https://www.cnbc.com/select/state-minimum-car-insurance-requirements/</t>
        </is>
      </c>
      <c r="K31" s="43" t="n">
        <v>46295</v>
      </c>
      <c r="L31" s="41" t="inlineStr">
        <is>
          <t>New Hampshire</t>
        </is>
      </c>
      <c r="M31" s="41" t="inlineStr">
        <is>
          <t>Reference data (secondary source)</t>
        </is>
      </c>
      <c r="N31" s="45" t="inlineStr">
        <is>
          <t>Secondary - unverified</t>
        </is>
      </c>
      <c r="O31" s="43" t="n">
        <v>46295</v>
      </c>
      <c r="P31" s="41" t="inlineStr">
        <is>
          <t>No blanket requirement, but proof of financial responsibility needed; 25/50/25 applies if insured.</t>
        </is>
      </c>
    </row>
    <row r="32" ht="35.05" customHeight="1" s="29">
      <c r="A32" s="41" t="inlineStr">
        <is>
          <t>New Jersey</t>
        </is>
      </c>
      <c r="B32" s="41" t="n">
        <v>35</v>
      </c>
      <c r="C32" s="41" t="n">
        <v>70</v>
      </c>
      <c r="D32" s="41" t="n">
        <v>25</v>
      </c>
      <c r="E32" s="41" t="n"/>
      <c r="F32" s="41" t="n"/>
      <c r="G32" s="41" t="inlineStr">
        <is>
          <t>UM/UIM limits also rising</t>
        </is>
      </c>
      <c r="H32" s="41" t="inlineStr">
        <is>
          <t>New limits effective Jan 1, 2026 (3 sources)</t>
        </is>
      </c>
      <c r="I32" s="41" t="inlineStr">
        <is>
          <t>CarInsurance.com - Minimum liability by state (Apr 2026)</t>
        </is>
      </c>
      <c r="J32" s="42" t="inlineStr">
        <is>
          <t>https://www.carinsurance.com/Articles/minimum-liability-car-insurance-requirements-by-state.aspx</t>
        </is>
      </c>
      <c r="K32" s="43" t="n">
        <v>46295</v>
      </c>
      <c r="L32" s="41" t="inlineStr">
        <is>
          <t>New Jersey</t>
        </is>
      </c>
      <c r="M32" s="41" t="inlineStr">
        <is>
          <t>Reference data (secondary source)</t>
        </is>
      </c>
      <c r="N32" s="46" t="inlineStr">
        <is>
          <t>Conflicting</t>
        </is>
      </c>
      <c r="O32" s="43" t="n">
        <v>46295</v>
      </c>
      <c r="P32" s="41" t="inlineStr">
        <is>
          <t>Coverage Criteria (Feb 2026) still lists older two-tier structure (Basic Policy: no BI minimum, $5K PD, $15K PIP; Standard: 15/30/5 + $15K PIP). Confirm with NJ DOBI.</t>
        </is>
      </c>
    </row>
    <row r="33" ht="15" customHeight="1" s="29">
      <c r="A33" s="41" t="inlineStr">
        <is>
          <t>New Mexico</t>
        </is>
      </c>
      <c r="B33" s="41" t="n"/>
      <c r="C33" s="41" t="n"/>
      <c r="D33" s="41" t="n"/>
      <c r="E33" s="41" t="n"/>
      <c r="F33" s="41" t="n"/>
      <c r="G33" s="41" t="n"/>
      <c r="H33" s="41" t="n"/>
      <c r="I33" s="41" t="n"/>
      <c r="J33" s="42" t="n"/>
      <c r="K33" s="43" t="n">
        <v>46295</v>
      </c>
      <c r="L33" s="41" t="inlineStr">
        <is>
          <t>New Mexico</t>
        </is>
      </c>
      <c r="M33" s="41" t="inlineStr">
        <is>
          <t>Placeholder</t>
        </is>
      </c>
      <c r="N33" s="47" t="inlineStr">
        <is>
          <t>Not researched</t>
        </is>
      </c>
      <c r="O33" s="43" t="n">
        <v>46295</v>
      </c>
      <c r="P33" s="41" t="inlineStr">
        <is>
          <t>To research: check state DOI/DMV for current limits.</t>
        </is>
      </c>
    </row>
    <row r="34" ht="46.25" customHeight="1" s="29">
      <c r="A34" s="41" t="inlineStr">
        <is>
          <t>New York</t>
        </is>
      </c>
      <c r="B34" s="41" t="n">
        <v>25</v>
      </c>
      <c r="C34" s="41" t="n">
        <v>50</v>
      </c>
      <c r="D34" s="41" t="n">
        <v>10</v>
      </c>
      <c r="E34" s="41" t="inlineStr">
        <is>
          <t>No-fault</t>
        </is>
      </c>
      <c r="F34" s="41" t="inlineStr">
        <is>
          <t>Basic no-fault $50,000 required</t>
        </is>
      </c>
      <c r="G34" s="41" t="inlineStr">
        <is>
          <t>UM required at 25/50 (NY accidents); SUM included unless declined</t>
        </is>
      </c>
      <c r="H34" s="41" t="inlineStr">
        <is>
          <t>Death limits: $50,000 per person; $100,000 for two or more</t>
        </is>
      </c>
      <c r="I34" s="41" t="inlineStr">
        <is>
          <t>NY Dept of Financial Services - Auto Insurance Information for Consumers</t>
        </is>
      </c>
      <c r="J34" s="42" t="inlineStr">
        <is>
          <t>https://www.dfs.ny.gov/consumers/auto_insurance/Auto_resource_center</t>
        </is>
      </c>
      <c r="K34" s="43" t="n">
        <v>46295</v>
      </c>
      <c r="L34" s="41" t="inlineStr">
        <is>
          <t>New York</t>
        </is>
      </c>
      <c r="M34" s="41" t="inlineStr">
        <is>
          <t>Reference data (secondary source)</t>
        </is>
      </c>
      <c r="N34" s="44" t="inlineStr">
        <is>
          <t>Primary source</t>
        </is>
      </c>
      <c r="O34" s="43" t="n">
        <v>46295</v>
      </c>
      <c r="P34" s="41" t="inlineStr">
        <is>
          <t>DFS: 25/50/10 plus $50,000 basic no-fault. See NY Auto Verified.</t>
        </is>
      </c>
    </row>
    <row r="35" ht="23.85" customHeight="1" s="29">
      <c r="A35" s="41" t="inlineStr">
        <is>
          <t>North Carolina</t>
        </is>
      </c>
      <c r="B35" s="41" t="n">
        <v>50</v>
      </c>
      <c r="C35" s="41" t="n">
        <v>100</v>
      </c>
      <c r="D35" s="41" t="n">
        <v>50</v>
      </c>
      <c r="E35" s="41" t="n"/>
      <c r="F35" s="41" t="n"/>
      <c r="G35" s="41" t="inlineStr">
        <is>
          <t>UM/UIM mandated on all policies</t>
        </is>
      </c>
      <c r="H35" s="41" t="inlineStr">
        <is>
          <t>Raised from 30/60/25, effective for policies issued/renewed on or after July 1, 2025</t>
        </is>
      </c>
      <c r="I35" s="41" t="inlineStr">
        <is>
          <t>NCDOI - Changes to the Rating of Automobile Insurance Policies</t>
        </is>
      </c>
      <c r="J35" s="42" t="inlineStr">
        <is>
          <t>https://www.ncdoi.gov/changes-rating-automobile-insurance-policies-effective-july-1-2025</t>
        </is>
      </c>
      <c r="K35" s="43" t="n">
        <v>46296</v>
      </c>
      <c r="L35" s="41" t="inlineStr">
        <is>
          <t>North Carolina</t>
        </is>
      </c>
      <c r="M35" s="41" t="inlineStr">
        <is>
          <t>Regulator-published</t>
        </is>
      </c>
      <c r="N35" s="45" t="inlineStr">
        <is>
          <t>Primary source</t>
        </is>
      </c>
      <c r="O35" s="43" t="n">
        <v>46296</v>
      </c>
      <c r="P35" s="41" t="n"/>
    </row>
    <row r="36" ht="15" customHeight="1" s="29">
      <c r="A36" s="41" t="inlineStr">
        <is>
          <t>North Dakota</t>
        </is>
      </c>
      <c r="B36" s="41" t="n"/>
      <c r="C36" s="41" t="n"/>
      <c r="D36" s="41" t="n"/>
      <c r="E36" s="41" t="n"/>
      <c r="F36" s="41" t="n"/>
      <c r="G36" s="41" t="n"/>
      <c r="H36" s="41" t="n"/>
      <c r="I36" s="41" t="n"/>
      <c r="J36" s="42" t="n"/>
      <c r="K36" s="43" t="n">
        <v>46295</v>
      </c>
      <c r="L36" s="41" t="inlineStr">
        <is>
          <t>North Dakota</t>
        </is>
      </c>
      <c r="M36" s="41" t="inlineStr">
        <is>
          <t>Placeholder</t>
        </is>
      </c>
      <c r="N36" s="47" t="inlineStr">
        <is>
          <t>Not researched</t>
        </is>
      </c>
      <c r="O36" s="43" t="n">
        <v>46295</v>
      </c>
      <c r="P36" s="41" t="inlineStr">
        <is>
          <t>To research: check state DOI/DMV for current limits.</t>
        </is>
      </c>
    </row>
    <row r="37" ht="15" customHeight="1" s="29">
      <c r="A37" s="41" t="inlineStr">
        <is>
          <t>Ohio</t>
        </is>
      </c>
      <c r="B37" s="41" t="n"/>
      <c r="C37" s="41" t="n"/>
      <c r="D37" s="41" t="n"/>
      <c r="E37" s="41" t="n"/>
      <c r="F37" s="41" t="n"/>
      <c r="G37" s="41" t="n"/>
      <c r="H37" s="41" t="n"/>
      <c r="I37" s="41" t="n"/>
      <c r="J37" s="42" t="n"/>
      <c r="K37" s="43" t="n">
        <v>46295</v>
      </c>
      <c r="L37" s="41" t="inlineStr">
        <is>
          <t>Ohio</t>
        </is>
      </c>
      <c r="M37" s="41" t="inlineStr">
        <is>
          <t>Placeholder</t>
        </is>
      </c>
      <c r="N37" s="47" t="inlineStr">
        <is>
          <t>Not researched</t>
        </is>
      </c>
      <c r="O37" s="43" t="n">
        <v>46295</v>
      </c>
      <c r="P37" s="41" t="inlineStr">
        <is>
          <t>To research: check state DOI/DMV for current limits.</t>
        </is>
      </c>
    </row>
    <row r="38" ht="15" customHeight="1" s="29">
      <c r="A38" s="41" t="inlineStr">
        <is>
          <t>Oklahoma</t>
        </is>
      </c>
      <c r="B38" s="41" t="n"/>
      <c r="C38" s="41" t="n"/>
      <c r="D38" s="41" t="n"/>
      <c r="E38" s="41" t="n"/>
      <c r="F38" s="41" t="n"/>
      <c r="G38" s="41" t="n"/>
      <c r="H38" s="41" t="n"/>
      <c r="I38" s="41" t="n"/>
      <c r="J38" s="42" t="n"/>
      <c r="K38" s="43" t="n">
        <v>46295</v>
      </c>
      <c r="L38" s="41" t="inlineStr">
        <is>
          <t>Oklahoma</t>
        </is>
      </c>
      <c r="M38" s="41" t="inlineStr">
        <is>
          <t>Placeholder</t>
        </is>
      </c>
      <c r="N38" s="47" t="inlineStr">
        <is>
          <t>Not researched</t>
        </is>
      </c>
      <c r="O38" s="43" t="n">
        <v>46295</v>
      </c>
      <c r="P38" s="41" t="inlineStr">
        <is>
          <t>To research: check state DOI/DMV for current limits.</t>
        </is>
      </c>
    </row>
    <row r="39" ht="15" customHeight="1" s="29">
      <c r="A39" s="41" t="inlineStr">
        <is>
          <t>Oregon</t>
        </is>
      </c>
      <c r="B39" s="41" t="n"/>
      <c r="C39" s="41" t="n"/>
      <c r="D39" s="41" t="n"/>
      <c r="E39" s="41" t="n"/>
      <c r="F39" s="41" t="n"/>
      <c r="G39" s="41" t="n"/>
      <c r="H39" s="41" t="n"/>
      <c r="I39" s="41" t="n"/>
      <c r="J39" s="42" t="n"/>
      <c r="K39" s="43" t="n">
        <v>46295</v>
      </c>
      <c r="L39" s="41" t="inlineStr">
        <is>
          <t>Oregon</t>
        </is>
      </c>
      <c r="M39" s="41" t="inlineStr">
        <is>
          <t>Placeholder</t>
        </is>
      </c>
      <c r="N39" s="47" t="inlineStr">
        <is>
          <t>Not researched</t>
        </is>
      </c>
      <c r="O39" s="43" t="n">
        <v>46295</v>
      </c>
      <c r="P39" s="41" t="inlineStr">
        <is>
          <t>To research: check state DOI/DMV for current limits.</t>
        </is>
      </c>
    </row>
    <row r="40" ht="23.85" customHeight="1" s="29">
      <c r="A40" s="41" t="inlineStr">
        <is>
          <t>Pennsylvania</t>
        </is>
      </c>
      <c r="B40" s="41" t="n">
        <v>15</v>
      </c>
      <c r="C40" s="41" t="n">
        <v>30</v>
      </c>
      <c r="D40" s="41" t="n">
        <v>5</v>
      </c>
      <c r="E40" s="41" t="inlineStr">
        <is>
          <t>Choice no-fault (full tort / limited tort election)</t>
        </is>
      </c>
      <c r="F40" s="41" t="inlineStr">
        <is>
          <t>Medical Benefits required, minimum $5,000, pays regardless of fault</t>
        </is>
      </c>
      <c r="G40" s="41" t="inlineStr">
        <is>
          <t>UM/UIM optional; stacking applies by law unless rejected</t>
        </is>
      </c>
      <c r="H40" s="41" t="inlineStr">
        <is>
          <t>Combined single limit option of $35,000 meets both BI and PD minimums</t>
        </is>
      </c>
      <c r="I40" s="41" t="inlineStr">
        <is>
          <t>Pennsylvania Insurance Department - Automobile Insurance Guide</t>
        </is>
      </c>
      <c r="J40" s="42" t="inlineStr">
        <is>
          <t>https://www.pa.gov/content/dam/copapwp-pagov/en/insurance/documents/consumer-help-center/learn-about-insurance/auto-insurance-guide.pdf</t>
        </is>
      </c>
      <c r="K40" s="43" t="n">
        <v>46296</v>
      </c>
      <c r="L40" s="41" t="inlineStr">
        <is>
          <t>Pennsylvania</t>
        </is>
      </c>
      <c r="M40" s="41" t="inlineStr">
        <is>
          <t>Regulator-published</t>
        </is>
      </c>
      <c r="N40" s="45" t="inlineStr">
        <is>
          <t>Primary source</t>
        </is>
      </c>
      <c r="O40" s="43" t="n">
        <v>46296</v>
      </c>
      <c r="P40" s="41" t="inlineStr">
        <is>
          <t>Limits not captured in this research.</t>
        </is>
      </c>
    </row>
    <row r="41" ht="15" customHeight="1" s="29">
      <c r="A41" s="41" t="inlineStr">
        <is>
          <t>Rhode Island</t>
        </is>
      </c>
      <c r="B41" s="41" t="n"/>
      <c r="C41" s="41" t="n"/>
      <c r="D41" s="41" t="n"/>
      <c r="E41" s="41" t="n"/>
      <c r="F41" s="41" t="n"/>
      <c r="G41" s="41" t="n"/>
      <c r="H41" s="41" t="n"/>
      <c r="I41" s="41" t="n"/>
      <c r="J41" s="42" t="n"/>
      <c r="K41" s="43" t="n">
        <v>46295</v>
      </c>
      <c r="L41" s="41" t="inlineStr">
        <is>
          <t>Rhode Island</t>
        </is>
      </c>
      <c r="M41" s="41" t="inlineStr">
        <is>
          <t>Placeholder</t>
        </is>
      </c>
      <c r="N41" s="47" t="inlineStr">
        <is>
          <t>Not researched</t>
        </is>
      </c>
      <c r="O41" s="43" t="n">
        <v>46295</v>
      </c>
      <c r="P41" s="41" t="inlineStr">
        <is>
          <t>To research: check state DOI/DMV for current limits.</t>
        </is>
      </c>
    </row>
    <row r="42" ht="15" customHeight="1" s="29">
      <c r="A42" s="41" t="inlineStr">
        <is>
          <t>South Carolina</t>
        </is>
      </c>
      <c r="B42" s="41" t="n"/>
      <c r="C42" s="41" t="n"/>
      <c r="D42" s="41" t="n"/>
      <c r="E42" s="41" t="n"/>
      <c r="F42" s="41" t="n"/>
      <c r="G42" s="41" t="n"/>
      <c r="H42" s="41" t="n"/>
      <c r="I42" s="41" t="n"/>
      <c r="J42" s="42" t="n"/>
      <c r="K42" s="43" t="n">
        <v>46295</v>
      </c>
      <c r="L42" s="41" t="inlineStr">
        <is>
          <t>South Carolina</t>
        </is>
      </c>
      <c r="M42" s="41" t="inlineStr">
        <is>
          <t>Placeholder</t>
        </is>
      </c>
      <c r="N42" s="47" t="inlineStr">
        <is>
          <t>Not researched</t>
        </is>
      </c>
      <c r="O42" s="43" t="n">
        <v>46295</v>
      </c>
      <c r="P42" s="41" t="inlineStr">
        <is>
          <t>To research: check state DOI/DMV for current limits.</t>
        </is>
      </c>
    </row>
    <row r="43" ht="15" customHeight="1" s="29">
      <c r="A43" s="41" t="inlineStr">
        <is>
          <t>South Dakota</t>
        </is>
      </c>
      <c r="B43" s="41" t="n"/>
      <c r="C43" s="41" t="n"/>
      <c r="D43" s="41" t="n"/>
      <c r="E43" s="41" t="n"/>
      <c r="F43" s="41" t="n"/>
      <c r="G43" s="41" t="n"/>
      <c r="H43" s="41" t="n"/>
      <c r="I43" s="41" t="n"/>
      <c r="J43" s="42" t="n"/>
      <c r="K43" s="43" t="n">
        <v>46295</v>
      </c>
      <c r="L43" s="41" t="inlineStr">
        <is>
          <t>South Dakota</t>
        </is>
      </c>
      <c r="M43" s="41" t="inlineStr">
        <is>
          <t>Placeholder</t>
        </is>
      </c>
      <c r="N43" s="47" t="inlineStr">
        <is>
          <t>Not researched</t>
        </is>
      </c>
      <c r="O43" s="43" t="n">
        <v>46295</v>
      </c>
      <c r="P43" s="41" t="inlineStr">
        <is>
          <t>To research: check state DOI/DMV for current limits.</t>
        </is>
      </c>
    </row>
    <row r="44" ht="23.85" customHeight="1" s="29">
      <c r="A44" s="41" t="inlineStr">
        <is>
          <t>Tennessee</t>
        </is>
      </c>
      <c r="B44" s="41" t="n">
        <v>25</v>
      </c>
      <c r="C44" s="41" t="n">
        <v>50</v>
      </c>
      <c r="D44" s="41" t="n">
        <v>25</v>
      </c>
      <c r="E44" s="41" t="n"/>
      <c r="F44" s="41" t="n"/>
      <c r="G44" s="41" t="n"/>
      <c r="H44" s="41" t="n"/>
      <c r="I44" s="41" t="inlineStr">
        <is>
          <t>AutoInsurance.org - Requirements by state</t>
        </is>
      </c>
      <c r="J44" s="42" t="inlineStr">
        <is>
          <t>https://www.autoinsurance.org/car-insurance-requirements/</t>
        </is>
      </c>
      <c r="K44" s="43" t="n">
        <v>46295</v>
      </c>
      <c r="L44" s="41" t="inlineStr">
        <is>
          <t>Tennessee</t>
        </is>
      </c>
      <c r="M44" s="41" t="inlineStr">
        <is>
          <t>Reference data (secondary source)</t>
        </is>
      </c>
      <c r="N44" s="45" t="inlineStr">
        <is>
          <t>Secondary - unverified</t>
        </is>
      </c>
      <c r="O44" s="43" t="n">
        <v>46295</v>
      </c>
      <c r="P44" s="41" t="n"/>
    </row>
    <row r="45" ht="35.05" customHeight="1" s="29">
      <c r="A45" s="41" t="inlineStr">
        <is>
          <t>Texas</t>
        </is>
      </c>
      <c r="B45" s="41" t="n">
        <v>30</v>
      </c>
      <c r="C45" s="41" t="n">
        <v>60</v>
      </c>
      <c r="D45" s="41" t="n">
        <v>25</v>
      </c>
      <c r="E45" s="41" t="n"/>
      <c r="F45" s="41" t="inlineStr">
        <is>
          <t>PIP included in auto policies unless rejected in writing</t>
        </is>
      </c>
      <c r="G45" s="41" t="inlineStr">
        <is>
          <t>UM/UIM must be offered; can be rejected in writing</t>
        </is>
      </c>
      <c r="H45" s="41" t="n"/>
      <c r="I45" s="41" t="inlineStr">
        <is>
          <t>Texas Dept of Insurance - Auto insurance guide (CB020)</t>
        </is>
      </c>
      <c r="J45" s="42" t="inlineStr">
        <is>
          <t>https://www.tdi.texas.gov/pubs/consumer/cb020.html</t>
        </is>
      </c>
      <c r="K45" s="43" t="n">
        <v>46295</v>
      </c>
      <c r="L45" s="41" t="inlineStr">
        <is>
          <t>Texas</t>
        </is>
      </c>
      <c r="M45" s="41" t="inlineStr">
        <is>
          <t>Reference data (secondary source)</t>
        </is>
      </c>
      <c r="N45" s="44" t="inlineStr">
        <is>
          <t>Primary source</t>
        </is>
      </c>
      <c r="O45" s="43" t="n">
        <v>46295</v>
      </c>
      <c r="P45" s="41" t="inlineStr">
        <is>
          <t>TDI guide. Only liability is required. See TX Auto Verified.</t>
        </is>
      </c>
    </row>
    <row r="46" ht="23.85" customHeight="1" s="29">
      <c r="A46" s="41" t="inlineStr">
        <is>
          <t>Utah</t>
        </is>
      </c>
      <c r="B46" s="41" t="n">
        <v>30</v>
      </c>
      <c r="C46" s="41" t="n">
        <v>65</v>
      </c>
      <c r="D46" s="41" t="n">
        <v>25</v>
      </c>
      <c r="E46" s="41" t="n"/>
      <c r="F46" s="41" t="n"/>
      <c r="G46" s="41" t="n"/>
      <c r="H46" s="41" t="inlineStr">
        <is>
          <t>Raised in 2025 per source</t>
        </is>
      </c>
      <c r="I46" s="41" t="inlineStr">
        <is>
          <t>CarInsurance.com - Minimum liability by state (Apr 2026)</t>
        </is>
      </c>
      <c r="J46" s="42" t="inlineStr">
        <is>
          <t>https://www.carinsurance.com/Articles/minimum-liability-car-insurance-requirements-by-state.aspx</t>
        </is>
      </c>
      <c r="K46" s="43" t="n">
        <v>46295</v>
      </c>
      <c r="L46" s="41" t="inlineStr">
        <is>
          <t>Utah</t>
        </is>
      </c>
      <c r="M46" s="41" t="inlineStr">
        <is>
          <t>Reference data (secondary source)</t>
        </is>
      </c>
      <c r="N46" s="45" t="inlineStr">
        <is>
          <t>Secondary - unverified</t>
        </is>
      </c>
      <c r="O46" s="43" t="n">
        <v>46295</v>
      </c>
      <c r="P46" s="41" t="n"/>
    </row>
    <row r="47" ht="23.85" customHeight="1" s="29">
      <c r="A47" s="41" t="inlineStr">
        <is>
          <t>Vermont</t>
        </is>
      </c>
      <c r="B47" s="41" t="n">
        <v>25</v>
      </c>
      <c r="C47" s="41" t="n">
        <v>50</v>
      </c>
      <c r="D47" s="41" t="n">
        <v>10</v>
      </c>
      <c r="E47" s="41" t="n"/>
      <c r="F47" s="41" t="n"/>
      <c r="G47" s="41" t="inlineStr">
        <is>
          <t>UM/UIM 50/100/10</t>
        </is>
      </c>
      <c r="H47" s="41" t="n"/>
      <c r="I47" s="41" t="inlineStr">
        <is>
          <t>AutoInsurance.org - Requirements by state</t>
        </is>
      </c>
      <c r="J47" s="42" t="inlineStr">
        <is>
          <t>https://www.autoinsurance.org/car-insurance-requirements/</t>
        </is>
      </c>
      <c r="K47" s="43" t="n">
        <v>46295</v>
      </c>
      <c r="L47" s="41" t="inlineStr">
        <is>
          <t>Vermont</t>
        </is>
      </c>
      <c r="M47" s="41" t="inlineStr">
        <is>
          <t>Reference data (secondary source)</t>
        </is>
      </c>
      <c r="N47" s="45" t="inlineStr">
        <is>
          <t>Secondary - unverified</t>
        </is>
      </c>
      <c r="O47" s="43" t="n">
        <v>46295</v>
      </c>
      <c r="P47" s="41" t="n"/>
    </row>
    <row r="48" ht="23.85" customHeight="1" s="29">
      <c r="A48" s="41" t="inlineStr">
        <is>
          <t>Virginia</t>
        </is>
      </c>
      <c r="B48" s="41" t="n">
        <v>50</v>
      </c>
      <c r="C48" s="41" t="n">
        <v>100</v>
      </c>
      <c r="D48" s="41" t="n">
        <v>25</v>
      </c>
      <c r="E48" s="41" t="n"/>
      <c r="F48" s="41" t="n"/>
      <c r="G48" s="41" t="n"/>
      <c r="H48" s="41" t="inlineStr">
        <is>
          <t>New limits effective Jan 1, 2025, confirmed directly by VA DMV</t>
        </is>
      </c>
      <c r="I48" s="41" t="inlineStr">
        <is>
          <t>Virginia DMV - Insurance Requirements</t>
        </is>
      </c>
      <c r="J48" s="42" t="inlineStr">
        <is>
          <t>https://www.dmv.virginia.gov/vehicles/insurance-requirements</t>
        </is>
      </c>
      <c r="K48" s="43" t="n">
        <v>46296</v>
      </c>
      <c r="L48" s="41" t="inlineStr">
        <is>
          <t>Virginia</t>
        </is>
      </c>
      <c r="M48" s="41" t="inlineStr">
        <is>
          <t>Regulator-published</t>
        </is>
      </c>
      <c r="N48" s="46" t="inlineStr">
        <is>
          <t>Primary source</t>
        </is>
      </c>
      <c r="O48" s="43" t="n">
        <v>46296</v>
      </c>
      <c r="P48" s="41" t="inlineStr">
        <is>
          <t>The $30,000/$60,000/$20,000 figure some sources list was the prior minimum, in effect Jan 1, 2022 - Dec 31, 2024.</t>
        </is>
      </c>
    </row>
    <row r="49" ht="15" customHeight="1" s="29">
      <c r="A49" s="41" t="inlineStr">
        <is>
          <t>Washington</t>
        </is>
      </c>
      <c r="B49" s="41" t="n"/>
      <c r="C49" s="41" t="n"/>
      <c r="D49" s="41" t="n"/>
      <c r="E49" s="41" t="n"/>
      <c r="F49" s="41" t="n"/>
      <c r="G49" s="41" t="n"/>
      <c r="H49" s="41" t="n"/>
      <c r="I49" s="41" t="n"/>
      <c r="J49" s="42" t="n"/>
      <c r="K49" s="43" t="n">
        <v>46295</v>
      </c>
      <c r="L49" s="41" t="inlineStr">
        <is>
          <t>Washington</t>
        </is>
      </c>
      <c r="M49" s="41" t="inlineStr">
        <is>
          <t>Placeholder</t>
        </is>
      </c>
      <c r="N49" s="47" t="inlineStr">
        <is>
          <t>Not researched</t>
        </is>
      </c>
      <c r="O49" s="43" t="n">
        <v>46295</v>
      </c>
      <c r="P49" s="41" t="inlineStr">
        <is>
          <t>To research: check state DOI/DMV for current limits.</t>
        </is>
      </c>
    </row>
    <row r="50" ht="15" customHeight="1" s="29">
      <c r="A50" s="41" t="inlineStr">
        <is>
          <t>West Virginia</t>
        </is>
      </c>
      <c r="B50" s="41" t="n"/>
      <c r="C50" s="41" t="n"/>
      <c r="D50" s="41" t="n"/>
      <c r="E50" s="41" t="n"/>
      <c r="F50" s="41" t="n"/>
      <c r="G50" s="41" t="n"/>
      <c r="H50" s="41" t="n"/>
      <c r="I50" s="41" t="n"/>
      <c r="J50" s="42" t="n"/>
      <c r="K50" s="43" t="n">
        <v>46295</v>
      </c>
      <c r="L50" s="41" t="inlineStr">
        <is>
          <t>West Virginia</t>
        </is>
      </c>
      <c r="M50" s="41" t="inlineStr">
        <is>
          <t>Placeholder</t>
        </is>
      </c>
      <c r="N50" s="47" t="inlineStr">
        <is>
          <t>Not researched</t>
        </is>
      </c>
      <c r="O50" s="43" t="n">
        <v>46295</v>
      </c>
      <c r="P50" s="41" t="inlineStr">
        <is>
          <t>To research: check state DOI/DMV for current limits.</t>
        </is>
      </c>
    </row>
    <row r="51" ht="15" customHeight="1" s="29">
      <c r="A51" s="41" t="inlineStr">
        <is>
          <t>Wisconsin</t>
        </is>
      </c>
      <c r="B51" s="41" t="n"/>
      <c r="C51" s="41" t="n"/>
      <c r="D51" s="41" t="n"/>
      <c r="E51" s="41" t="n"/>
      <c r="F51" s="41" t="n"/>
      <c r="G51" s="41" t="n"/>
      <c r="H51" s="41" t="n"/>
      <c r="I51" s="41" t="n"/>
      <c r="J51" s="42" t="n"/>
      <c r="K51" s="43" t="n">
        <v>46295</v>
      </c>
      <c r="L51" s="41" t="inlineStr">
        <is>
          <t>Wisconsin</t>
        </is>
      </c>
      <c r="M51" s="41" t="inlineStr">
        <is>
          <t>Placeholder</t>
        </is>
      </c>
      <c r="N51" s="47" t="inlineStr">
        <is>
          <t>Not researched</t>
        </is>
      </c>
      <c r="O51" s="43" t="n">
        <v>46295</v>
      </c>
      <c r="P51" s="41" t="inlineStr">
        <is>
          <t>To research: check state DOI/DMV for current limits.</t>
        </is>
      </c>
    </row>
    <row r="52" ht="15" customHeight="1" s="29">
      <c r="A52" s="41" t="inlineStr">
        <is>
          <t>Wyoming</t>
        </is>
      </c>
      <c r="B52" s="41" t="n"/>
      <c r="C52" s="41" t="n"/>
      <c r="D52" s="41" t="n"/>
      <c r="E52" s="41" t="n"/>
      <c r="F52" s="41" t="n"/>
      <c r="G52" s="41" t="n"/>
      <c r="H52" s="41" t="n"/>
      <c r="I52" s="41" t="n"/>
      <c r="J52" s="42" t="n"/>
      <c r="K52" s="43" t="n">
        <v>46295</v>
      </c>
      <c r="L52" s="41" t="inlineStr">
        <is>
          <t>Wyoming</t>
        </is>
      </c>
      <c r="M52" s="41" t="inlineStr">
        <is>
          <t>Placeholder</t>
        </is>
      </c>
      <c r="N52" s="47" t="inlineStr">
        <is>
          <t>Not researched</t>
        </is>
      </c>
      <c r="O52" s="43" t="n">
        <v>46295</v>
      </c>
      <c r="P52" s="41" t="inlineStr">
        <is>
          <t>To research: check state DOI/DMV for current limits.</t>
        </is>
      </c>
    </row>
  </sheetData>
  <autoFilter ref="A1:P52"/>
  <dataValidations count="1">
    <dataValidation sqref="N2:N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J3" display="https://www.insurancegeek.com/auto-insurance/state-minimum-car-insurance-limits/" r:id="rId1"/>
    <hyperlink xmlns:r="http://schemas.openxmlformats.org/officeDocument/2006/relationships" ref="J6" display="https://www.dmv.ca.gov/portal/vehicle-registration/insurance-requirements/" r:id="rId2"/>
    <hyperlink xmlns:r="http://schemas.openxmlformats.org/officeDocument/2006/relationships" ref="J11" display="https://www.flhsmv.gov/insurance/" r:id="rId3"/>
    <hyperlink xmlns:r="http://schemas.openxmlformats.org/officeDocument/2006/relationships" ref="J13" display="https://beachinsurancellc.com/blog/state-minimum-car-insurance-requirements-for-2026-your-essential-guide" r:id="rId4"/>
    <hyperlink xmlns:r="http://schemas.openxmlformats.org/officeDocument/2006/relationships" ref="J17" display="https://coveragecriteria.com/articles/minimum-auto-insurance-by-state" r:id="rId5"/>
    <hyperlink xmlns:r="http://schemas.openxmlformats.org/officeDocument/2006/relationships" ref="J19" display="https://www.autoinsurance.org/car-insurance-requirements/" r:id="rId6"/>
    <hyperlink xmlns:r="http://schemas.openxmlformats.org/officeDocument/2006/relationships" ref="J20" display="https://coveragecriteria.com/articles/minimum-auto-insurance-by-state" r:id="rId7"/>
    <hyperlink xmlns:r="http://schemas.openxmlformats.org/officeDocument/2006/relationships" ref="J21" display="https://www.insurancegeek.com/auto-insurance/state-minimum-car-insurance-limits/" r:id="rId8"/>
    <hyperlink xmlns:r="http://schemas.openxmlformats.org/officeDocument/2006/relationships" ref="J24" display="https://coveragecriteria.com/articles/minimum-auto-insurance-by-state" r:id="rId9"/>
    <hyperlink xmlns:r="http://schemas.openxmlformats.org/officeDocument/2006/relationships" ref="J31" display="https://www.cnbc.com/select/state-minimum-car-insurance-requirements/" r:id="rId10"/>
    <hyperlink xmlns:r="http://schemas.openxmlformats.org/officeDocument/2006/relationships" ref="J32" display="https://www.carinsurance.com/Articles/minimum-liability-car-insurance-requirements-by-state.aspx" r:id="rId11"/>
    <hyperlink xmlns:r="http://schemas.openxmlformats.org/officeDocument/2006/relationships" ref="J34" display="https://www.dfs.ny.gov/consumers/auto_insurance/Auto_resource_center" r:id="rId12"/>
    <hyperlink xmlns:r="http://schemas.openxmlformats.org/officeDocument/2006/relationships" ref="J35" display="https://www.carinsurance.com/Articles/minimum-liability-car-insurance-requirements-by-state.aspx" r:id="rId13"/>
    <hyperlink xmlns:r="http://schemas.openxmlformats.org/officeDocument/2006/relationships" ref="J40" display="https://beachinsurancellc.com/blog/state-minimum-car-insurance-requirements-for-2026-your-essential-guide" r:id="rId14"/>
    <hyperlink xmlns:r="http://schemas.openxmlformats.org/officeDocument/2006/relationships" ref="J44" display="https://www.autoinsurance.org/car-insurance-requirements/" r:id="rId15"/>
    <hyperlink xmlns:r="http://schemas.openxmlformats.org/officeDocument/2006/relationships" ref="J45" display="https://www.tdi.texas.gov/pubs/consumer/cb020.html" r:id="rId16"/>
    <hyperlink xmlns:r="http://schemas.openxmlformats.org/officeDocument/2006/relationships" ref="J46" display="https://www.carinsurance.com/Articles/minimum-liability-car-insurance-requirements-by-state.aspx" r:id="rId17"/>
    <hyperlink xmlns:r="http://schemas.openxmlformats.org/officeDocument/2006/relationships" ref="J47" display="https://www.autoinsurance.org/car-insurance-requirements/" r:id="rId18"/>
    <hyperlink xmlns:r="http://schemas.openxmlformats.org/officeDocument/2006/relationships" ref="J48" display="https://www.carinsurance.com/Articles/minimum-liability-car-insurance-requirements-by-state.aspx" r:id="rId1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N1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8" customWidth="1" style="28" min="1" max="1"/>
    <col width="26" customWidth="1" style="28" min="2" max="2"/>
    <col width="30" customWidth="1" style="28" min="3" max="3"/>
    <col width="26" customWidth="1" style="28" min="4" max="4"/>
    <col width="24" customWidth="1" style="28" min="5" max="5"/>
    <col width="55" customWidth="1" style="28" min="6" max="6"/>
    <col width="34" customWidth="1" style="28" min="7" max="7"/>
    <col width="42" customWidth="1" style="28" min="8" max="8"/>
    <col width="12" customWidth="1" style="28" min="9" max="9"/>
    <col width="16" customWidth="1" style="28" min="10" max="10"/>
    <col width="24" customWidth="1" style="28" min="11" max="11"/>
    <col width="20" customWidth="1" style="28" min="12" max="12"/>
    <col width="12" customWidth="1" style="28" min="13" max="13"/>
    <col width="50" customWidth="1" style="28" min="14" max="14"/>
  </cols>
  <sheetData>
    <row r="1" ht="31.5" customHeight="1" s="29">
      <c r="A1" s="40" t="inlineStr">
        <is>
          <t>State</t>
        </is>
      </c>
      <c r="B1" s="40" t="inlineStr">
        <is>
          <t>Credit - Auto</t>
        </is>
      </c>
      <c r="C1" s="40" t="inlineStr">
        <is>
          <t>Credit - Home</t>
        </is>
      </c>
      <c r="D1" s="40" t="inlineStr">
        <is>
          <t>Gender</t>
        </is>
      </c>
      <c r="E1" s="40" t="inlineStr">
        <is>
          <t>Age</t>
        </is>
      </c>
      <c r="F1" s="40" t="inlineStr">
        <is>
          <t>Other Notes</t>
        </is>
      </c>
      <c r="G1" s="40" t="inlineStr">
        <is>
          <t>Source</t>
        </is>
      </c>
      <c r="H1" s="40" t="inlineStr">
        <is>
          <t>Source URL</t>
        </is>
      </c>
      <c r="I1" s="40" t="inlineStr">
        <is>
          <t>Date Collected</t>
        </is>
      </c>
      <c r="J1" s="40" t="inlineStr">
        <is>
          <t>Geographic Scope</t>
        </is>
      </c>
      <c r="K1" s="40" t="inlineStr">
        <is>
          <t>Data Type</t>
        </is>
      </c>
      <c r="L1" s="40" t="inlineStr">
        <is>
          <t>Verification Status</t>
        </is>
      </c>
      <c r="M1" s="40" t="inlineStr">
        <is>
          <t>Last Updated</t>
        </is>
      </c>
      <c r="N1" s="40" t="inlineStr">
        <is>
          <t>Notes</t>
        </is>
      </c>
    </row>
    <row r="2" ht="46.25" customHeight="1" s="29">
      <c r="A2" s="41" t="inlineStr">
        <is>
          <t>California</t>
        </is>
      </c>
      <c r="B2" s="41" t="inlineStr">
        <is>
          <t>Not on approved factor list (10 CCR 2632.5)</t>
        </is>
      </c>
      <c r="C2" s="41" t="inlineStr">
        <is>
          <t>Banned (secondary: CNBC, Newsweek) - not yet verified from primary</t>
        </is>
      </c>
      <c r="D2" s="41" t="inlineStr">
        <is>
          <t>Not on approved factor list; regulation history shows one factor repealed effective Jan 1, 2019</t>
        </is>
      </c>
      <c r="E2" s="41" t="inlineStr">
        <is>
          <t>Not on approved list; only years licensed (third mandatory factor)</t>
        </is>
      </c>
      <c r="F2" s="41" t="inlineStr">
        <is>
          <t>Mandatory factors in order: driving safety record, annual miles, years of driving experience. ZIP allowed only through claims frequency/severity bands (max 20 categories each); marital status is an allowed optional factor.</t>
        </is>
      </c>
      <c r="G2" s="41" t="inlineStr">
        <is>
          <t>10 CCR section 2632.5 - Rating Factors (text via Cornell LII)</t>
        </is>
      </c>
      <c r="H2" s="42" t="inlineStr">
        <is>
          <t>https://www.law.cornell.edu/regulations/california/10-CCR-2632.5</t>
        </is>
      </c>
      <c r="I2" s="43" t="n">
        <v>46295</v>
      </c>
      <c r="J2" s="41" t="inlineStr">
        <is>
          <t>California</t>
        </is>
      </c>
      <c r="K2" s="41" t="inlineStr">
        <is>
          <t>Regulation text</t>
        </is>
      </c>
      <c r="L2" s="44" t="inlineStr">
        <is>
          <t>Primary source</t>
        </is>
      </c>
      <c r="M2" s="43" t="n">
        <v>46295</v>
      </c>
      <c r="N2" s="41" t="inlineStr">
        <is>
          <t>Resolves the earlier conflict: The Zebra and Firstcard were each partly right. Home-credit column is still secondary. Absence from the list is derived from the regulation text; confirm with counsel.</t>
        </is>
      </c>
    </row>
    <row r="3" ht="68.65000000000001" customHeight="1" s="29">
      <c r="A3" s="41" t="inlineStr">
        <is>
          <t>California (home)</t>
        </is>
      </c>
      <c r="B3" s="41" t="inlineStr">
        <is>
          <t>Not applicable (auto rule)</t>
        </is>
      </c>
      <c r="C3" s="41" t="inlineStr">
        <is>
          <t>Unresolved: no explicit statute found; reports say CDI does not approve homeowners rate filings that depend on credit, while older reports say some insurers used credit in underwriting</t>
        </is>
      </c>
      <c r="D3" s="41" t="inlineStr">
        <is>
          <t>Not captured</t>
        </is>
      </c>
      <c r="E3" s="41" t="inlineStr">
        <is>
          <t>Not captured</t>
        </is>
      </c>
      <c r="F3" s="41" t="inlineStr">
        <is>
          <t>A ban bill passed the Senate in 2022 (outcome not confirmed); 2004 and 2006 bills were earlier attempts. Experian (2025) says CA insurers do not use credit for homeowners rates.</t>
        </is>
      </c>
      <c r="G3" s="41" t="inlineStr">
        <is>
          <t>United Policyholders - Should states ban credit-based insurance scoring? (2013)</t>
        </is>
      </c>
      <c r="H3" s="42" t="inlineStr">
        <is>
          <t>https://uphelp.org/should-states-ban-credit-based-insurance-scoring/</t>
        </is>
      </c>
      <c r="I3" s="43" t="n">
        <v>46295</v>
      </c>
      <c r="J3" s="41" t="inlineStr">
        <is>
          <t>California</t>
        </is>
      </c>
      <c r="K3" s="41" t="inlineStr">
        <is>
          <t>Reference data (secondary source)</t>
        </is>
      </c>
      <c r="L3" s="46" t="inlineStr">
        <is>
          <t>Conflicting</t>
        </is>
      </c>
      <c r="M3" s="43" t="n">
        <v>46295</v>
      </c>
      <c r="N3" s="41" t="inlineStr">
        <is>
          <t>Ask CDI directly and check Insurance Code and CDI rate-filing rules for homeowners.</t>
        </is>
      </c>
    </row>
    <row r="4" ht="23.85" customHeight="1" s="29">
      <c r="A4" s="41" t="inlineStr">
        <is>
          <t>Hawaii</t>
        </is>
      </c>
      <c r="B4" s="41" t="inlineStr">
        <is>
          <t>Banned</t>
        </is>
      </c>
      <c r="C4" s="41" t="inlineStr">
        <is>
          <t>Allowed (per Newsweek); CNBC says auto ban only</t>
        </is>
      </c>
      <c r="D4" s="41" t="inlineStr">
        <is>
          <t>Not captured</t>
        </is>
      </c>
      <c r="E4" s="41" t="inlineStr">
        <is>
          <t>Not captured</t>
        </is>
      </c>
      <c r="F4" s="41" t="inlineStr">
        <is>
          <t>Credit banned for auto only, per Newsweek.</t>
        </is>
      </c>
      <c r="G4" s="41" t="inlineStr">
        <is>
          <t>Newsweek - Where your credit score can/can't raise insurance costs</t>
        </is>
      </c>
      <c r="H4" s="42" t="inlineStr">
        <is>
          <t>https://www.newsweek.com/where-your-credit-score-can-cant-raise-insurance-costs-11885672</t>
        </is>
      </c>
      <c r="I4" s="43" t="n">
        <v>46295</v>
      </c>
      <c r="J4" s="41" t="inlineStr">
        <is>
          <t>Hawaii</t>
        </is>
      </c>
      <c r="K4" s="41" t="inlineStr">
        <is>
          <t>Reference data (secondary source)</t>
        </is>
      </c>
      <c r="L4" s="45" t="inlineStr">
        <is>
          <t>Secondary - unverified</t>
        </is>
      </c>
      <c r="M4" s="43" t="n">
        <v>46295</v>
      </c>
      <c r="N4" s="41" t="inlineStr">
        <is>
          <t>Age/gender rules not captured.</t>
        </is>
      </c>
    </row>
    <row r="5" ht="46.25" customHeight="1" s="29">
      <c r="A5" s="41" t="inlineStr">
        <is>
          <t>Texas</t>
        </is>
      </c>
      <c r="B5" s="41" t="inlineStr">
        <is>
          <t>Allowed, but cannot be the only reason to turn down or charge more</t>
        </is>
      </c>
      <c r="C5" s="41" t="inlineStr">
        <is>
          <t>Not captured</t>
        </is>
      </c>
      <c r="D5" s="41" t="inlineStr">
        <is>
          <t>Age, gender, marital status, location, disability allowed only if the insurer can show greater risk</t>
        </is>
      </c>
      <c r="E5" s="41" t="inlineStr">
        <is>
          <t>Same as gender</t>
        </is>
      </c>
      <c r="F5" s="41" t="inlineStr">
        <is>
          <t>Race, color, religion, national origin may not be used. TDI HelpInsure.com lists which insurers use credit.</t>
        </is>
      </c>
      <c r="G5" s="41" t="inlineStr">
        <is>
          <t>Texas Dept of Insurance - Auto insurance guide (CB020)</t>
        </is>
      </c>
      <c r="H5" s="42" t="inlineStr">
        <is>
          <t>https://www.tdi.texas.gov/pubs/consumer/cb020.html</t>
        </is>
      </c>
      <c r="I5" s="43" t="n">
        <v>46295</v>
      </c>
      <c r="J5" s="41" t="inlineStr">
        <is>
          <t>Texas</t>
        </is>
      </c>
      <c r="K5" s="41" t="inlineStr">
        <is>
          <t>Regulator-published</t>
        </is>
      </c>
      <c r="L5" s="44" t="inlineStr">
        <is>
          <t>Primary source</t>
        </is>
      </c>
      <c r="M5" s="43" t="n">
        <v>46295</v>
      </c>
      <c r="N5" s="41" t="inlineStr">
        <is>
          <t>TDI guide wording; underlying statute not read.</t>
        </is>
      </c>
    </row>
    <row r="6" ht="68.65000000000001" customHeight="1" s="29">
      <c r="A6" s="41" t="inlineStr">
        <is>
          <t>Florida</t>
        </is>
      </c>
      <c r="B6" s="41" t="inlineStr">
        <is>
          <t>Regulated by s. 626.9741: insurer must disclose use, allow appeals for certain life events, and may not use certain inquiries or medical collections</t>
        </is>
      </c>
      <c r="C6" s="41" t="inlineStr">
        <is>
          <t>Same statute covers personal residential lines</t>
        </is>
      </c>
      <c r="D6" s="41" t="inlineStr">
        <is>
          <t>Not captured</t>
        </is>
      </c>
      <c r="E6" s="41" t="inlineStr">
        <is>
          <t>Not captured</t>
        </is>
      </c>
      <c r="F6" s="41" t="inlineStr">
        <is>
          <t>Statute applies to personal lines motor vehicle and residential insurance.</t>
        </is>
      </c>
      <c r="G6" s="41" t="inlineStr">
        <is>
          <t>Florida Statutes 626.9741 - Credit reports and scores by insurers</t>
        </is>
      </c>
      <c r="H6" s="42" t="inlineStr">
        <is>
          <t>https://www.flsenate.gov/Laws/Statutes/2025/0626.9741</t>
        </is>
      </c>
      <c r="I6" s="43" t="n">
        <v>46295</v>
      </c>
      <c r="J6" s="41" t="inlineStr">
        <is>
          <t>Florida</t>
        </is>
      </c>
      <c r="K6" s="41" t="inlineStr">
        <is>
          <t>Statute text</t>
        </is>
      </c>
      <c r="L6" s="44" t="inlineStr">
        <is>
          <t>Primary source</t>
        </is>
      </c>
      <c r="M6" s="43" t="n">
        <v>46295</v>
      </c>
      <c r="N6" s="41" t="inlineStr">
        <is>
          <t>Seen in snippets and older-year text; other rating limits (age, gender) not researched.</t>
        </is>
      </c>
    </row>
    <row r="7" ht="46.25" customHeight="1" s="29">
      <c r="A7" s="41" t="inlineStr">
        <is>
          <t>New York</t>
        </is>
      </c>
      <c r="B7" s="41" t="inlineStr">
        <is>
          <t>Allowed; cannot be sole basis for rejection; insurer may not terminate or raise renewal premium based on credit</t>
        </is>
      </c>
      <c r="C7" s="41" t="inlineStr">
        <is>
          <t>Not captured</t>
        </is>
      </c>
      <c r="D7" s="41" t="inlineStr">
        <is>
          <t>Sex is a permitted rating classification but refusing or terminating because of sex is prohibited</t>
        </is>
      </c>
      <c r="E7" s="41" t="inlineStr">
        <is>
          <t>Age is a permitted classification; 60+ cannot be sole reason for non-renewal</t>
        </is>
      </c>
      <c r="F7" s="41" t="inlineStr">
        <is>
          <t>Classifications include age, sex, marital status, territory, mileage, use and driving experience; unlicensed under 3 years gets an inexperienced-operator surcharge; disclosure and 3-year credit review rules apply.</t>
        </is>
      </c>
      <c r="G7" s="41" t="inlineStr">
        <is>
          <t>NY Dept of Financial Services - Auto Insurance Information for Consumers</t>
        </is>
      </c>
      <c r="H7" s="42" t="inlineStr">
        <is>
          <t>https://www.dfs.ny.gov/consumers/auto_insurance/Auto_resource_center</t>
        </is>
      </c>
      <c r="I7" s="43" t="n">
        <v>46295</v>
      </c>
      <c r="J7" s="41" t="inlineStr">
        <is>
          <t>New York</t>
        </is>
      </c>
      <c r="K7" s="41" t="inlineStr">
        <is>
          <t>Regulator-published</t>
        </is>
      </c>
      <c r="L7" s="44" t="inlineStr">
        <is>
          <t>Primary source</t>
        </is>
      </c>
      <c r="M7" s="43" t="n">
        <v>46295</v>
      </c>
      <c r="N7" s="41" t="inlineStr">
        <is>
          <t>DFS page. Confirm exact statutory limits with counsel.</t>
        </is>
      </c>
    </row>
    <row r="8" ht="23.85" customHeight="1" s="29">
      <c r="A8" s="41" t="inlineStr">
        <is>
          <t>Massachusetts</t>
        </is>
      </c>
      <c r="B8" s="41" t="inlineStr">
        <is>
          <t>Banned</t>
        </is>
      </c>
      <c r="C8" s="41" t="inlineStr">
        <is>
          <t>Banned</t>
        </is>
      </c>
      <c r="D8" s="41" t="inlineStr">
        <is>
          <t>Prohibited (per The Zebra)</t>
        </is>
      </c>
      <c r="E8" s="41" t="inlineStr">
        <is>
          <t>Prohibited (per The Zebra)</t>
        </is>
      </c>
      <c r="F8" s="41" t="inlineStr">
        <is>
          <t>Marital status also prohibited; driving experience, ZIP and insurance history allowed with limits (The Zebra).</t>
        </is>
      </c>
      <c r="G8" s="41" t="inlineStr">
        <is>
          <t>The Zebra - Car insurance rating factors by state</t>
        </is>
      </c>
      <c r="H8" s="42" t="inlineStr">
        <is>
          <t>https://www.thezebra.com/resources/research/car-insurance-rating-factors-by-state/</t>
        </is>
      </c>
      <c r="I8" s="43" t="n">
        <v>46295</v>
      </c>
      <c r="J8" s="41" t="inlineStr">
        <is>
          <t>Massachusetts</t>
        </is>
      </c>
      <c r="K8" s="41" t="inlineStr">
        <is>
          <t>Reference data (secondary source)</t>
        </is>
      </c>
      <c r="L8" s="45" t="inlineStr">
        <is>
          <t>Secondary - unverified</t>
        </is>
      </c>
      <c r="M8" s="43" t="n">
        <v>46295</v>
      </c>
      <c r="N8" s="41" t="n"/>
    </row>
    <row r="9" ht="35.05" customHeight="1" s="29">
      <c r="A9" s="41" t="inlineStr">
        <is>
          <t>Michigan</t>
        </is>
      </c>
      <c r="B9" s="41" t="inlineStr">
        <is>
          <t>Conflicting</t>
        </is>
      </c>
      <c r="C9" s="41" t="inlineStr">
        <is>
          <t>Cannot be used to deny/cancel/non-renew (per Experian)</t>
        </is>
      </c>
      <c r="D9" s="41" t="inlineStr">
        <is>
          <t>Non-group policies prohibited (per The Zebra)</t>
        </is>
      </c>
      <c r="E9" s="41" t="inlineStr">
        <is>
          <t>Allowed per The Zebra</t>
        </is>
      </c>
      <c r="F9" s="41" t="inlineStr">
        <is>
          <t>Most sources say auto credit is banned; The Zebra lists credit history as 'allowed with limitations'; Firstcard says limited but not fully banned.</t>
        </is>
      </c>
      <c r="G9" s="41" t="inlineStr">
        <is>
          <t>Experian - States that restrict credit-based insurance scores</t>
        </is>
      </c>
      <c r="H9" s="42" t="inlineStr">
        <is>
          <t>https://www.experian.com/blogs/ask-experian/which-states-prohibit-or-restrict-the-use-of-credit-based-insurance-scores/</t>
        </is>
      </c>
      <c r="I9" s="43" t="n">
        <v>46295</v>
      </c>
      <c r="J9" s="41" t="inlineStr">
        <is>
          <t>Michigan</t>
        </is>
      </c>
      <c r="K9" s="41" t="inlineStr">
        <is>
          <t>Reference data (secondary source)</t>
        </is>
      </c>
      <c r="L9" s="46" t="inlineStr">
        <is>
          <t>Conflicting</t>
        </is>
      </c>
      <c r="M9" s="43" t="n">
        <v>46295</v>
      </c>
      <c r="N9" s="41" t="inlineStr">
        <is>
          <t>Resolve with Michigan DIFS / Insurance Code of 1956.</t>
        </is>
      </c>
    </row>
    <row r="10" ht="23.85" customHeight="1" s="29">
      <c r="A10" s="41" t="inlineStr">
        <is>
          <t>Maryland</t>
        </is>
      </c>
      <c r="B10" s="41" t="inlineStr">
        <is>
          <t>Allowed with restrictions (per Firstcard)</t>
        </is>
      </c>
      <c r="C10" s="41" t="inlineStr">
        <is>
          <t>Banned (per CNBC)</t>
        </is>
      </c>
      <c r="D10" s="41" t="inlineStr">
        <is>
          <t>Not captured</t>
        </is>
      </c>
      <c r="E10" s="41" t="inlineStr">
        <is>
          <t>Not captured</t>
        </is>
      </c>
      <c r="F10" s="41" t="inlineStr">
        <is>
          <t>Experian lists Maryland among 7 states with strict credit limits.</t>
        </is>
      </c>
      <c r="G10" s="41" t="inlineStr">
        <is>
          <t>CNBC - Insurance rates based on credit history draw scrutiny</t>
        </is>
      </c>
      <c r="H10" s="42" t="inlineStr">
        <is>
          <t>https://www.cnbc.com/2026/04/26/insurance-rates-credit-history.html</t>
        </is>
      </c>
      <c r="I10" s="43" t="n">
        <v>46295</v>
      </c>
      <c r="J10" s="41" t="inlineStr">
        <is>
          <t>Maryland</t>
        </is>
      </c>
      <c r="K10" s="41" t="inlineStr">
        <is>
          <t>Reference data (secondary source)</t>
        </is>
      </c>
      <c r="L10" s="45" t="inlineStr">
        <is>
          <t>Secondary - unverified</t>
        </is>
      </c>
      <c r="M10" s="43" t="n">
        <v>46295</v>
      </c>
      <c r="N10" s="41" t="n"/>
    </row>
    <row r="11" ht="23.85" customHeight="1" s="29">
      <c r="A11" s="41" t="inlineStr">
        <is>
          <t>Oregon</t>
        </is>
      </c>
      <c r="B11" s="41" t="inlineStr">
        <is>
          <t>Strict limits (per Experian)</t>
        </is>
      </c>
      <c r="C11" s="41" t="inlineStr">
        <is>
          <t>Strict limits (per Experian)</t>
        </is>
      </c>
      <c r="D11" s="41" t="inlineStr">
        <is>
          <t>Not captured</t>
        </is>
      </c>
      <c r="E11" s="41" t="inlineStr">
        <is>
          <t>Not captured</t>
        </is>
      </c>
      <c r="F11" s="41" t="n"/>
      <c r="G11" s="41" t="inlineStr">
        <is>
          <t>Experian - States that restrict credit-based insurance scores</t>
        </is>
      </c>
      <c r="H11" s="42" t="inlineStr">
        <is>
          <t>https://www.experian.com/blogs/ask-experian/which-states-prohibit-or-restrict-the-use-of-credit-based-insurance-scores/</t>
        </is>
      </c>
      <c r="I11" s="43" t="n">
        <v>46295</v>
      </c>
      <c r="J11" s="41" t="inlineStr">
        <is>
          <t>Oregon</t>
        </is>
      </c>
      <c r="K11" s="41" t="inlineStr">
        <is>
          <t>Reference data (secondary source)</t>
        </is>
      </c>
      <c r="L11" s="45" t="inlineStr">
        <is>
          <t>Secondary - unverified</t>
        </is>
      </c>
      <c r="M11" s="43" t="n">
        <v>46295</v>
      </c>
      <c r="N11" s="41" t="inlineStr">
        <is>
          <t>Details of the limits not captured.</t>
        </is>
      </c>
    </row>
    <row r="12" ht="23.85" customHeight="1" s="29">
      <c r="A12" s="41" t="inlineStr">
        <is>
          <t>Utah</t>
        </is>
      </c>
      <c r="B12" s="41" t="inlineStr">
        <is>
          <t>Strict limits (per Experian)</t>
        </is>
      </c>
      <c r="C12" s="41" t="inlineStr">
        <is>
          <t>Strict limits (per Experian)</t>
        </is>
      </c>
      <c r="D12" s="41" t="inlineStr">
        <is>
          <t>Not captured</t>
        </is>
      </c>
      <c r="E12" s="41" t="inlineStr">
        <is>
          <t>Not captured</t>
        </is>
      </c>
      <c r="F12" s="41" t="n"/>
      <c r="G12" s="41" t="inlineStr">
        <is>
          <t>Experian - States that restrict credit-based insurance scores</t>
        </is>
      </c>
      <c r="H12" s="42" t="inlineStr">
        <is>
          <t>https://www.experian.com/blogs/ask-experian/which-states-prohibit-or-restrict-the-use-of-credit-based-insurance-scores/</t>
        </is>
      </c>
      <c r="I12" s="43" t="n">
        <v>46295</v>
      </c>
      <c r="J12" s="41" t="inlineStr">
        <is>
          <t>Utah</t>
        </is>
      </c>
      <c r="K12" s="41" t="inlineStr">
        <is>
          <t>Reference data (secondary source)</t>
        </is>
      </c>
      <c r="L12" s="45" t="inlineStr">
        <is>
          <t>Secondary - unverified</t>
        </is>
      </c>
      <c r="M12" s="43" t="n">
        <v>46295</v>
      </c>
      <c r="N12" s="41" t="inlineStr">
        <is>
          <t>Details of the limits not captured.</t>
        </is>
      </c>
    </row>
    <row r="13" ht="23.85" customHeight="1" s="29">
      <c r="A13" s="41" t="inlineStr">
        <is>
          <t>Washington</t>
        </is>
      </c>
      <c r="B13" s="41" t="inlineStr">
        <is>
          <t>Allowed (ban struck down)</t>
        </is>
      </c>
      <c r="C13" s="41" t="inlineStr">
        <is>
          <t>Not captured</t>
        </is>
      </c>
      <c r="D13" s="41" t="inlineStr">
        <is>
          <t>Not captured</t>
        </is>
      </c>
      <c r="E13" s="41" t="inlineStr">
        <is>
          <t>Not captured</t>
        </is>
      </c>
      <c r="F13" s="41" t="inlineStr">
        <is>
          <t>A court struck down the state's three-year credit ban in 2021 (MoneyGeek).</t>
        </is>
      </c>
      <c r="G13" s="41" t="inlineStr">
        <is>
          <t>MoneyGeek - Insurers that don't check credit</t>
        </is>
      </c>
      <c r="H13" s="42" t="inlineStr">
        <is>
          <t>https://www.moneygeek.com/insurance/auto/which-insurance-companies-dont-check-credit-score/</t>
        </is>
      </c>
      <c r="I13" s="43" t="n">
        <v>46295</v>
      </c>
      <c r="J13" s="41" t="inlineStr">
        <is>
          <t>Washington</t>
        </is>
      </c>
      <c r="K13" s="41" t="inlineStr">
        <is>
          <t>Reference data (secondary source)</t>
        </is>
      </c>
      <c r="L13" s="45" t="inlineStr">
        <is>
          <t>Secondary - unverified</t>
        </is>
      </c>
      <c r="M13" s="43" t="n">
        <v>46295</v>
      </c>
      <c r="N13" s="41" t="inlineStr">
        <is>
          <t>Verify current status with WA OIC.</t>
        </is>
      </c>
    </row>
    <row r="14" ht="23.85" customHeight="1" s="29">
      <c r="A14" s="41" t="inlineStr">
        <is>
          <t>All other states</t>
        </is>
      </c>
      <c r="B14" s="41" t="inlineStr">
        <is>
          <t>Generally allowed</t>
        </is>
      </c>
      <c r="C14" s="41" t="inlineStr">
        <is>
          <t>Generally allowed</t>
        </is>
      </c>
      <c r="D14" s="41" t="inlineStr">
        <is>
          <t>Generally allowed</t>
        </is>
      </c>
      <c r="E14" s="41" t="inlineStr">
        <is>
          <t>Generally allowed</t>
        </is>
      </c>
      <c r="F14" s="41" t="inlineStr">
        <is>
          <t>Per Experian, 7 states strictly limit credit use: CA, HI, MD, MA, MI, OR, UT. Bills pending in IA, NY, OK, PA (CNBC).</t>
        </is>
      </c>
      <c r="G14" s="41" t="inlineStr">
        <is>
          <t>Experian - States that restrict credit-based insurance scores</t>
        </is>
      </c>
      <c r="H14" s="42" t="inlineStr">
        <is>
          <t>https://www.experian.com/blogs/ask-experian/which-states-prohibit-or-restrict-the-use-of-credit-based-insurance-scores/</t>
        </is>
      </c>
      <c r="I14" s="43" t="n">
        <v>46295</v>
      </c>
      <c r="J14" s="41" t="inlineStr">
        <is>
          <t>46 states + DC</t>
        </is>
      </c>
      <c r="K14" s="41" t="inlineStr">
        <is>
          <t>Reference data (secondary source)</t>
        </is>
      </c>
      <c r="L14" s="45" t="inlineStr">
        <is>
          <t>Secondary - unverified</t>
        </is>
      </c>
      <c r="M14" s="43" t="n">
        <v>46295</v>
      </c>
      <c r="N14" s="41" t="inlineStr">
        <is>
          <t>Do not assume any factor is allowed; check each state's statute.</t>
        </is>
      </c>
    </row>
    <row r="15">
      <c r="A15" s="28" t="inlineStr">
        <is>
          <t>NY</t>
        </is>
      </c>
      <c r="C15" s="28" t="inlineStr">
        <is>
          <t>Insurer must disclose use of credit information; policyholder may request re-underwriting/re-rating based on current credit at least every 3 years; credit updates may only be used to decrease premium, never increase it</t>
        </is>
      </c>
      <c r="G15" s="28" t="inlineStr">
        <is>
          <t>NY Dept of Financial Services - Ways to Save on Homeowners Insurance</t>
        </is>
      </c>
      <c r="H15" s="28" t="inlineStr">
        <is>
          <t>https://www.dfs.ny.gov/system/files/documents/2026/02/Ways-to-Save-Homeowners-Insurance.pdf</t>
        </is>
      </c>
      <c r="I15" s="48" t="n">
        <v>46296</v>
      </c>
      <c r="J15" s="28" t="inlineStr">
        <is>
          <t>New York</t>
        </is>
      </c>
      <c r="K15" s="28" t="inlineStr">
        <is>
          <t>Regulator-published</t>
        </is>
      </c>
      <c r="L15" s="28" t="inlineStr">
        <is>
          <t>Primary source</t>
        </is>
      </c>
      <c r="M15" s="48" t="n">
        <v>46296</v>
      </c>
      <c r="N15" s="28" t="inlineStr">
        <is>
          <t>Home credit-use rule only; NY auto credit-use rule not yet researched (left blank).</t>
        </is>
      </c>
    </row>
    <row r="16">
      <c r="A16" s="28" t="inlineStr">
        <is>
          <t>IL</t>
        </is>
      </c>
      <c r="B16" s="28" t="inlineStr">
        <is>
          <t>Credit-based insurance scores used for auto and home insurance may not consider race, color, national origin, religion, gender, marital status, age, income, occupation or employment history, location of residence, any interest rate being charged, child/family support obligations or rental agreements, or certain credit inquiries (account review, employment, promotional) or credit counseling participation; insurers cannot base renewal rates solely on credit information; an insurer must use a credit report or score obtained within 90 days of writing or renewing a policy to take an adverse action; consumers may request premium reconsideration after an extraordinary life circumstance such as a catastrophic event, job loss, or serious illness</t>
        </is>
      </c>
      <c r="C16" s="28" t="inlineStr">
        <is>
          <t>Credit-based insurance scores used for auto and home insurance may not consider race, color, national origin, religion, gender, marital status, age, income, occupation or employment history, location of residence, any interest rate being charged, child/family support obligations or rental agreements, or certain credit inquiries (account review, employment, promotional) or credit counseling participation; insurers cannot base renewal rates solely on credit information; an insurer must use a credit report or score obtained within 90 days of writing or renewing a policy to take an adverse action; consumers may request premium reconsideration after an extraordinary life circumstance such as a catastrophic event, job loss, or serious illness</t>
        </is>
      </c>
      <c r="G16" s="28" t="inlineStr">
        <is>
          <t>Illinois Dept of Insurance - Credit: How Insurers Use It</t>
        </is>
      </c>
      <c r="H16" s="28" t="inlineStr">
        <is>
          <t>https://idoi.illinois.gov/consumers/consumerinsurance/credit.html</t>
        </is>
      </c>
      <c r="I16" s="48" t="n">
        <v>46296</v>
      </c>
      <c r="J16" s="28" t="inlineStr">
        <is>
          <t>Illinois</t>
        </is>
      </c>
      <c r="K16" s="28" t="inlineStr">
        <is>
          <t>Regulator-published</t>
        </is>
      </c>
      <c r="L16" s="28" t="inlineStr">
        <is>
          <t>Primary source</t>
        </is>
      </c>
      <c r="M16" s="48" t="n">
        <v>46296</v>
      </c>
      <c r="N16" s="28" t="inlineStr">
        <is>
          <t>215 ILCS 157 (Use of Credit Information in Personal Insurance Act) applies identically to auto and home.</t>
        </is>
      </c>
    </row>
  </sheetData>
  <autoFilter ref="A1:N14"/>
  <dataValidations count="1">
    <dataValidation sqref="L2:L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H2" display="https://www.law.cornell.edu/regulations/california/10-CCR-2632.5" r:id="rId1"/>
    <hyperlink xmlns:r="http://schemas.openxmlformats.org/officeDocument/2006/relationships" ref="H3" display="https://uphelp.org/should-states-ban-credit-based-insurance-scoring/" r:id="rId2"/>
    <hyperlink xmlns:r="http://schemas.openxmlformats.org/officeDocument/2006/relationships" ref="H4" display="https://www.newsweek.com/where-your-credit-score-can-cant-raise-insurance-costs-11885672" r:id="rId3"/>
    <hyperlink xmlns:r="http://schemas.openxmlformats.org/officeDocument/2006/relationships" ref="H5" display="https://www.tdi.texas.gov/pubs/consumer/cb020.html" r:id="rId4"/>
    <hyperlink xmlns:r="http://schemas.openxmlformats.org/officeDocument/2006/relationships" ref="H6" display="https://www.flsenate.gov/Laws/Statutes/2025/0626.9741" r:id="rId5"/>
    <hyperlink xmlns:r="http://schemas.openxmlformats.org/officeDocument/2006/relationships" ref="H7" display="https://www.dfs.ny.gov/consumers/auto_insurance/Auto_resource_center" r:id="rId6"/>
    <hyperlink xmlns:r="http://schemas.openxmlformats.org/officeDocument/2006/relationships" ref="H8" display="https://www.thezebra.com/resources/research/car-insurance-rating-factors-by-state/" r:id="rId7"/>
    <hyperlink xmlns:r="http://schemas.openxmlformats.org/officeDocument/2006/relationships" ref="H9" display="https://www.experian.com/blogs/ask-experian/which-states-prohibit-or-restrict-the-use-of-credit-based-insurance-scores/" r:id="rId8"/>
    <hyperlink xmlns:r="http://schemas.openxmlformats.org/officeDocument/2006/relationships" ref="H10" display="https://www.cnbc.com/2026/04/26/insurance-rates-credit-history.html" r:id="rId9"/>
    <hyperlink xmlns:r="http://schemas.openxmlformats.org/officeDocument/2006/relationships" ref="H11" display="https://www.experian.com/blogs/ask-experian/which-states-prohibit-or-restrict-the-use-of-credit-based-insurance-scores/" r:id="rId10"/>
    <hyperlink xmlns:r="http://schemas.openxmlformats.org/officeDocument/2006/relationships" ref="H12" display="https://www.experian.com/blogs/ask-experian/which-states-prohibit-or-restrict-the-use-of-credit-based-insurance-scores/" r:id="rId11"/>
    <hyperlink xmlns:r="http://schemas.openxmlformats.org/officeDocument/2006/relationships" ref="H13" display="https://www.moneygeek.com/insurance/auto/which-insurance-companies-dont-check-credit-score/" r:id="rId12"/>
    <hyperlink xmlns:r="http://schemas.openxmlformats.org/officeDocument/2006/relationships" ref="H14" display="https://www.experian.com/blogs/ask-experian/which-states-prohibit-or-restrict-the-use-of-credit-based-insurance-scores/" r:id="rId1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M3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0" customWidth="1" style="28" min="1" max="1"/>
    <col width="16" customWidth="1" style="28" min="2" max="2"/>
    <col width="26" customWidth="1" style="28" min="3" max="3"/>
    <col width="30" customWidth="1" style="28" min="4" max="4"/>
    <col width="36" customWidth="1" style="28" min="5" max="5"/>
    <col width="34" customWidth="1" style="28" min="6" max="6"/>
    <col width="42" customWidth="1" style="28" min="7" max="7"/>
    <col width="12" customWidth="1" style="28" min="8" max="8"/>
    <col width="24" customWidth="1" style="28" min="9" max="9"/>
    <col width="20" customWidth="1" style="28" min="10" max="10"/>
    <col width="12" customWidth="1" style="28" min="11" max="11"/>
    <col width="60" customWidth="1" style="28" min="12" max="13"/>
  </cols>
  <sheetData>
    <row r="1" ht="31.5" customHeight="1" s="29">
      <c r="A1" s="40" t="inlineStr">
        <is>
          <t>Discount</t>
        </is>
      </c>
      <c r="B1" s="40" t="inlineStr">
        <is>
          <t>Category</t>
        </is>
      </c>
      <c r="C1" s="40" t="inlineStr">
        <is>
          <t>State / Scope</t>
        </is>
      </c>
      <c r="D1" s="40" t="inlineStr">
        <is>
          <t>Availability</t>
        </is>
      </c>
      <c r="E1" s="40" t="inlineStr">
        <is>
          <t>Reported Amount</t>
        </is>
      </c>
      <c r="F1" s="40" t="inlineStr">
        <is>
          <t>Source</t>
        </is>
      </c>
      <c r="G1" s="40" t="inlineStr">
        <is>
          <t>Source URL</t>
        </is>
      </c>
      <c r="H1" s="40" t="inlineStr">
        <is>
          <t>Date Collected</t>
        </is>
      </c>
      <c r="I1" s="40" t="inlineStr">
        <is>
          <t>Geographic Scope</t>
        </is>
      </c>
      <c r="J1" s="40" t="inlineStr">
        <is>
          <t>Data Type</t>
        </is>
      </c>
      <c r="K1" s="40" t="inlineStr">
        <is>
          <t>Verification Status</t>
        </is>
      </c>
      <c r="L1" s="40" t="inlineStr">
        <is>
          <t>Last Updated</t>
        </is>
      </c>
      <c r="M1" s="40" t="inlineStr">
        <is>
          <t>Notes</t>
        </is>
      </c>
    </row>
    <row r="2" ht="23.85" customHeight="1" s="29">
      <c r="A2" s="41" t="inlineStr">
        <is>
          <t>Accident prevention course (defensive driving)</t>
        </is>
      </c>
      <c r="B2" s="41" t="inlineStr">
        <is>
          <t>Driver / Vehicle</t>
        </is>
      </c>
      <c r="C2" s="41" t="inlineStr">
        <is>
          <t>New York</t>
        </is>
      </c>
      <c r="D2" s="41" t="inlineStr">
        <is>
          <t>Mandated by statute</t>
        </is>
      </c>
      <c r="E2" s="41" t="inlineStr">
        <is>
          <t>Amount not stated</t>
        </is>
      </c>
      <c r="F2" s="41" t="inlineStr">
        <is>
          <t>NY Dept of Financial Services - Auto Insurance Discounts</t>
        </is>
      </c>
      <c r="G2" s="42" t="inlineStr">
        <is>
          <t>https://www.dfs.ny.gov/consumers/auto_insurance/discounts_list</t>
        </is>
      </c>
      <c r="H2" s="43" t="n">
        <v>46295</v>
      </c>
      <c r="I2" s="41" t="inlineStr">
        <is>
          <t>New York</t>
        </is>
      </c>
      <c r="J2" s="41" t="inlineStr">
        <is>
          <t>Regulator-published</t>
        </is>
      </c>
      <c r="K2" s="44" t="inlineStr">
        <is>
          <t>Primary source</t>
        </is>
      </c>
      <c r="L2" s="43" t="n">
        <v>46295</v>
      </c>
      <c r="M2" s="41" t="inlineStr">
        <is>
          <t>Must be offered by all NY companies (DFS).</t>
        </is>
      </c>
    </row>
    <row r="3" ht="23.85" customHeight="1" s="29">
      <c r="A3" s="41" t="inlineStr">
        <is>
          <t>Electronic tracking device</t>
        </is>
      </c>
      <c r="B3" s="41" t="inlineStr">
        <is>
          <t>Driver / Vehicle</t>
        </is>
      </c>
      <c r="C3" s="41" t="inlineStr">
        <is>
          <t>New York</t>
        </is>
      </c>
      <c r="D3" s="41" t="inlineStr">
        <is>
          <t>Mandated by statute</t>
        </is>
      </c>
      <c r="E3" s="41" t="inlineStr">
        <is>
          <t>Amount not stated</t>
        </is>
      </c>
      <c r="F3" s="41" t="inlineStr">
        <is>
          <t>NY Dept of Financial Services - Auto Insurance Discounts</t>
        </is>
      </c>
      <c r="G3" s="42" t="inlineStr">
        <is>
          <t>https://www.dfs.ny.gov/consumers/auto_insurance/discounts_list</t>
        </is>
      </c>
      <c r="H3" s="43" t="n">
        <v>46295</v>
      </c>
      <c r="I3" s="41" t="inlineStr">
        <is>
          <t>New York</t>
        </is>
      </c>
      <c r="J3" s="41" t="inlineStr">
        <is>
          <t>Regulator-published</t>
        </is>
      </c>
      <c r="K3" s="44" t="inlineStr">
        <is>
          <t>Primary source</t>
        </is>
      </c>
      <c r="L3" s="43" t="n">
        <v>46295</v>
      </c>
      <c r="M3" s="41" t="inlineStr">
        <is>
          <t>Must be offered by all NY companies (DFS).</t>
        </is>
      </c>
    </row>
    <row r="4" ht="23.85" customHeight="1" s="29">
      <c r="A4" s="41" t="inlineStr">
        <is>
          <t>Factory-installed anti-lock brakes (ABS)</t>
        </is>
      </c>
      <c r="B4" s="41" t="inlineStr">
        <is>
          <t>Driver / Vehicle</t>
        </is>
      </c>
      <c r="C4" s="41" t="inlineStr">
        <is>
          <t>New York</t>
        </is>
      </c>
      <c r="D4" s="41" t="inlineStr">
        <is>
          <t>Mandated by statute</t>
        </is>
      </c>
      <c r="E4" s="41" t="inlineStr">
        <is>
          <t>Amount not stated</t>
        </is>
      </c>
      <c r="F4" s="41" t="inlineStr">
        <is>
          <t>NY Dept of Financial Services - Auto Insurance Discounts</t>
        </is>
      </c>
      <c r="G4" s="42" t="inlineStr">
        <is>
          <t>https://www.dfs.ny.gov/consumers/auto_insurance/discounts_list</t>
        </is>
      </c>
      <c r="H4" s="43" t="n">
        <v>46295</v>
      </c>
      <c r="I4" s="41" t="inlineStr">
        <is>
          <t>New York</t>
        </is>
      </c>
      <c r="J4" s="41" t="inlineStr">
        <is>
          <t>Regulator-published</t>
        </is>
      </c>
      <c r="K4" s="44" t="inlineStr">
        <is>
          <t>Primary source</t>
        </is>
      </c>
      <c r="L4" s="43" t="n">
        <v>46295</v>
      </c>
      <c r="M4" s="41" t="inlineStr">
        <is>
          <t>Must be offered by all NY companies (DFS).</t>
        </is>
      </c>
    </row>
    <row r="5" ht="23.85" customHeight="1" s="29">
      <c r="A5" s="41" t="inlineStr">
        <is>
          <t>Passive restraints (automatic belts / air bags)</t>
        </is>
      </c>
      <c r="B5" s="41" t="inlineStr">
        <is>
          <t>Driver / Vehicle</t>
        </is>
      </c>
      <c r="C5" s="41" t="inlineStr">
        <is>
          <t>New York</t>
        </is>
      </c>
      <c r="D5" s="41" t="inlineStr">
        <is>
          <t>Mandated by statute</t>
        </is>
      </c>
      <c r="E5" s="41" t="inlineStr">
        <is>
          <t>Amount not stated</t>
        </is>
      </c>
      <c r="F5" s="41" t="inlineStr">
        <is>
          <t>NY Dept of Financial Services - Auto Insurance Discounts</t>
        </is>
      </c>
      <c r="G5" s="42" t="inlineStr">
        <is>
          <t>https://www.dfs.ny.gov/consumers/auto_insurance/discounts_list</t>
        </is>
      </c>
      <c r="H5" s="43" t="n">
        <v>46295</v>
      </c>
      <c r="I5" s="41" t="inlineStr">
        <is>
          <t>New York</t>
        </is>
      </c>
      <c r="J5" s="41" t="inlineStr">
        <is>
          <t>Regulator-published</t>
        </is>
      </c>
      <c r="K5" s="44" t="inlineStr">
        <is>
          <t>Primary source</t>
        </is>
      </c>
      <c r="L5" s="43" t="n">
        <v>46295</v>
      </c>
      <c r="M5" s="41" t="inlineStr">
        <is>
          <t>Must be offered by all NY companies (DFS).</t>
        </is>
      </c>
    </row>
    <row r="6" ht="23.85" customHeight="1" s="29">
      <c r="A6" s="41" t="inlineStr">
        <is>
          <t>Factory-installed daytime running lamps</t>
        </is>
      </c>
      <c r="B6" s="41" t="inlineStr">
        <is>
          <t>Driver / Vehicle</t>
        </is>
      </c>
      <c r="C6" s="41" t="inlineStr">
        <is>
          <t>New York</t>
        </is>
      </c>
      <c r="D6" s="41" t="inlineStr">
        <is>
          <t>Mandated by statute</t>
        </is>
      </c>
      <c r="E6" s="41" t="inlineStr">
        <is>
          <t>Amount not stated</t>
        </is>
      </c>
      <c r="F6" s="41" t="inlineStr">
        <is>
          <t>NY Dept of Financial Services - Auto Insurance Discounts</t>
        </is>
      </c>
      <c r="G6" s="42" t="inlineStr">
        <is>
          <t>https://www.dfs.ny.gov/consumers/auto_insurance/discounts_list</t>
        </is>
      </c>
      <c r="H6" s="43" t="n">
        <v>46295</v>
      </c>
      <c r="I6" s="41" t="inlineStr">
        <is>
          <t>New York</t>
        </is>
      </c>
      <c r="J6" s="41" t="inlineStr">
        <is>
          <t>Regulator-published</t>
        </is>
      </c>
      <c r="K6" s="44" t="inlineStr">
        <is>
          <t>Primary source</t>
        </is>
      </c>
      <c r="L6" s="43" t="n">
        <v>46295</v>
      </c>
      <c r="M6" s="41" t="inlineStr">
        <is>
          <t>Must be offered by all NY companies (DFS).</t>
        </is>
      </c>
    </row>
    <row r="7" ht="23.85" customHeight="1" s="29">
      <c r="A7" s="41" t="inlineStr">
        <is>
          <t>Window glass etching</t>
        </is>
      </c>
      <c r="B7" s="41" t="inlineStr">
        <is>
          <t>Driver / Vehicle</t>
        </is>
      </c>
      <c r="C7" s="41" t="inlineStr">
        <is>
          <t>New York</t>
        </is>
      </c>
      <c r="D7" s="41" t="inlineStr">
        <is>
          <t>Mandated by statute</t>
        </is>
      </c>
      <c r="E7" s="41" t="inlineStr">
        <is>
          <t>Amount not stated</t>
        </is>
      </c>
      <c r="F7" s="41" t="inlineStr">
        <is>
          <t>NY Dept of Financial Services - Auto Insurance Discounts</t>
        </is>
      </c>
      <c r="G7" s="42" t="inlineStr">
        <is>
          <t>https://www.dfs.ny.gov/consumers/auto_insurance/discounts_list</t>
        </is>
      </c>
      <c r="H7" s="43" t="n">
        <v>46295</v>
      </c>
      <c r="I7" s="41" t="inlineStr">
        <is>
          <t>New York</t>
        </is>
      </c>
      <c r="J7" s="41" t="inlineStr">
        <is>
          <t>Regulator-published</t>
        </is>
      </c>
      <c r="K7" s="44" t="inlineStr">
        <is>
          <t>Primary source</t>
        </is>
      </c>
      <c r="L7" s="43" t="n">
        <v>46295</v>
      </c>
      <c r="M7" s="41" t="inlineStr">
        <is>
          <t>Must be offered by all NY companies (DFS).</t>
        </is>
      </c>
    </row>
    <row r="8" ht="23.85" customHeight="1" s="29">
      <c r="A8" s="41" t="inlineStr">
        <is>
          <t>Accident prevention course - guaranteed amount</t>
        </is>
      </c>
      <c r="B8" s="41" t="inlineStr">
        <is>
          <t>Driver</t>
        </is>
      </c>
      <c r="C8" s="41" t="inlineStr">
        <is>
          <t>New York</t>
        </is>
      </c>
      <c r="D8" s="41" t="inlineStr">
        <is>
          <t>Mandated</t>
        </is>
      </c>
      <c r="E8" s="41" t="inlineStr">
        <is>
          <t>10% via PIRP for approved course</t>
        </is>
      </c>
      <c r="F8" s="41" t="inlineStr">
        <is>
          <t>MoneyGeek - Defensive driver discounts</t>
        </is>
      </c>
      <c r="G8" s="42" t="inlineStr">
        <is>
          <t>https://www.moneygeek.com/insurance/auto/defensive-driver-courses/</t>
        </is>
      </c>
      <c r="H8" s="43" t="n">
        <v>46295</v>
      </c>
      <c r="I8" s="41" t="inlineStr">
        <is>
          <t>New York</t>
        </is>
      </c>
      <c r="J8" s="41" t="inlineStr">
        <is>
          <t>Reference data (secondary source)</t>
        </is>
      </c>
      <c r="K8" s="45" t="inlineStr">
        <is>
          <t>Secondary - unverified</t>
        </is>
      </c>
      <c r="L8" s="43" t="n">
        <v>46295</v>
      </c>
      <c r="M8" s="41" t="inlineStr">
        <is>
          <t>Amount from MoneyGeek; confirm with DFS.</t>
        </is>
      </c>
    </row>
    <row r="9" ht="23.85" customHeight="1" s="29">
      <c r="A9" s="41" t="inlineStr">
        <is>
          <t>Defensive driver discount</t>
        </is>
      </c>
      <c r="B9" s="41" t="inlineStr">
        <is>
          <t>Driver</t>
        </is>
      </c>
      <c r="C9" s="41" t="inlineStr">
        <is>
          <t>Massachusetts, Michigan, Hawaii</t>
        </is>
      </c>
      <c r="D9" s="41" t="inlineStr">
        <is>
          <t>Not offered</t>
        </is>
      </c>
      <c r="E9" s="41" t="inlineStr">
        <is>
          <t>-</t>
        </is>
      </c>
      <c r="F9" s="41" t="inlineStr">
        <is>
          <t>MoneyGeek - Defensive driver discounts</t>
        </is>
      </c>
      <c r="G9" s="42" t="inlineStr">
        <is>
          <t>https://www.moneygeek.com/insurance/auto/defensive-driver-courses/</t>
        </is>
      </c>
      <c r="H9" s="43" t="n">
        <v>46295</v>
      </c>
      <c r="I9" s="41" t="inlineStr">
        <is>
          <t>MA, MI, HI</t>
        </is>
      </c>
      <c r="J9" s="41" t="inlineStr">
        <is>
          <t>Reference data (secondary source)</t>
        </is>
      </c>
      <c r="K9" s="45" t="inlineStr">
        <is>
          <t>Secondary - unverified</t>
        </is>
      </c>
      <c r="L9" s="43" t="n">
        <v>46295</v>
      </c>
      <c r="M9" s="41" t="inlineStr">
        <is>
          <t>Per MoneyGeek: none offered regardless of carrier.</t>
        </is>
      </c>
    </row>
    <row r="10" ht="23.85" customHeight="1" s="29">
      <c r="A10" s="41" t="inlineStr">
        <is>
          <t>Defensive driver discount</t>
        </is>
      </c>
      <c r="B10" s="41" t="inlineStr">
        <is>
          <t>Driver</t>
        </is>
      </c>
      <c r="C10" s="41" t="inlineStr">
        <is>
          <t>North Carolina</t>
        </is>
      </c>
      <c r="D10" s="41" t="inlineStr">
        <is>
          <t>Not offered (by GEICO)</t>
        </is>
      </c>
      <c r="E10" s="41" t="inlineStr">
        <is>
          <t>-</t>
        </is>
      </c>
      <c r="F10" s="41" t="inlineStr">
        <is>
          <t>GEICO - Defensive driving discounts by state</t>
        </is>
      </c>
      <c r="G10" s="42" t="inlineStr">
        <is>
          <t>https://www.geico.com/save/discounts/defensive-driver-discounts/</t>
        </is>
      </c>
      <c r="H10" s="43" t="n">
        <v>46295</v>
      </c>
      <c r="I10" s="41" t="inlineStr">
        <is>
          <t>North Carolina</t>
        </is>
      </c>
      <c r="J10" s="41" t="inlineStr">
        <is>
          <t>Carrier-published</t>
        </is>
      </c>
      <c r="K10" s="44" t="inlineStr">
        <is>
          <t>Primary source</t>
        </is>
      </c>
      <c r="L10" s="43" t="n">
        <v>46295</v>
      </c>
      <c r="M10" s="41" t="inlineStr">
        <is>
          <t>GEICO-specific; other carriers may differ.</t>
        </is>
      </c>
    </row>
    <row r="11" ht="23.85" customHeight="1" s="29">
      <c r="A11" s="41" t="inlineStr">
        <is>
          <t>Defensive driver discount</t>
        </is>
      </c>
      <c r="B11" s="41" t="inlineStr">
        <is>
          <t>Driver</t>
        </is>
      </c>
      <c r="C11" s="41" t="inlineStr">
        <is>
          <t>Massachusetts, Hawaii, Michigan (GEICO)</t>
        </is>
      </c>
      <c r="D11" s="41" t="inlineStr">
        <is>
          <t>Not offered (by GEICO)</t>
        </is>
      </c>
      <c r="E11" s="41" t="inlineStr">
        <is>
          <t>-</t>
        </is>
      </c>
      <c r="F11" s="41" t="inlineStr">
        <is>
          <t>GEICO - Defensive driving discounts by state</t>
        </is>
      </c>
      <c r="G11" s="42" t="inlineStr">
        <is>
          <t>https://www.geico.com/save/discounts/defensive-driver-discounts/</t>
        </is>
      </c>
      <c r="H11" s="43" t="n">
        <v>46295</v>
      </c>
      <c r="I11" s="41" t="inlineStr">
        <is>
          <t>MA, HI, MI</t>
        </is>
      </c>
      <c r="J11" s="41" t="inlineStr">
        <is>
          <t>Carrier-published</t>
        </is>
      </c>
      <c r="K11" s="44" t="inlineStr">
        <is>
          <t>Primary source</t>
        </is>
      </c>
      <c r="L11" s="43" t="n">
        <v>46295</v>
      </c>
      <c r="M11" s="41" t="inlineStr">
        <is>
          <t>GEICO-specific statement.</t>
        </is>
      </c>
    </row>
    <row r="12" ht="23.85" customHeight="1" s="29">
      <c r="A12" s="41" t="inlineStr">
        <is>
          <t>Defensive driver discount</t>
        </is>
      </c>
      <c r="B12" s="41" t="inlineStr">
        <is>
          <t>Driver</t>
        </is>
      </c>
      <c r="C12" s="41" t="inlineStr">
        <is>
          <t>Idaho</t>
        </is>
      </c>
      <c r="D12" s="41" t="inlineStr">
        <is>
          <t>Carrier-optional (GEICO)</t>
        </is>
      </c>
      <c r="E12" s="41" t="inlineStr">
        <is>
          <t>Up to 10% (GEICO)</t>
        </is>
      </c>
      <c r="F12" s="41" t="inlineStr">
        <is>
          <t>GEICO - Defensive driving discounts by state</t>
        </is>
      </c>
      <c r="G12" s="42" t="inlineStr">
        <is>
          <t>https://www.geico.com/save/discounts/defensive-driver-discounts/</t>
        </is>
      </c>
      <c r="H12" s="43" t="n">
        <v>46295</v>
      </c>
      <c r="I12" s="41" t="inlineStr">
        <is>
          <t>Idaho</t>
        </is>
      </c>
      <c r="J12" s="41" t="inlineStr">
        <is>
          <t>Carrier-published</t>
        </is>
      </c>
      <c r="K12" s="44" t="inlineStr">
        <is>
          <t>Primary source</t>
        </is>
      </c>
      <c r="L12" s="43" t="n">
        <v>46295</v>
      </c>
      <c r="M12" s="41" t="inlineStr">
        <is>
          <t>GEICO-specific.</t>
        </is>
      </c>
    </row>
    <row r="13" ht="23.85" customHeight="1" s="29">
      <c r="A13" s="41" t="inlineStr">
        <is>
          <t>Defensive driver discount</t>
        </is>
      </c>
      <c r="B13" s="41" t="inlineStr">
        <is>
          <t>Driver</t>
        </is>
      </c>
      <c r="C13" s="41" t="inlineStr">
        <is>
          <t>Texas</t>
        </is>
      </c>
      <c r="D13" s="41" t="inlineStr">
        <is>
          <t>Carrier-optional (no state mandate)</t>
        </is>
      </c>
      <c r="E13" s="41" t="inlineStr">
        <is>
          <t>Up to 10% at most carriers for TDLR-approved course</t>
        </is>
      </c>
      <c r="F13" s="41" t="inlineStr">
        <is>
          <t>MoneyGeek - Defensive driver discounts</t>
        </is>
      </c>
      <c r="G13" s="42" t="inlineStr">
        <is>
          <t>https://www.moneygeek.com/insurance/auto/defensive-driver-courses/</t>
        </is>
      </c>
      <c r="H13" s="43" t="n">
        <v>46295</v>
      </c>
      <c r="I13" s="41" t="inlineStr">
        <is>
          <t>Texas</t>
        </is>
      </c>
      <c r="J13" s="41" t="inlineStr">
        <is>
          <t>Reference data (secondary source)</t>
        </is>
      </c>
      <c r="K13" s="45" t="inlineStr">
        <is>
          <t>Secondary - unverified</t>
        </is>
      </c>
      <c r="L13" s="43" t="n">
        <v>46295</v>
      </c>
      <c r="M13" s="41" t="n"/>
    </row>
    <row r="14" ht="35.05" customHeight="1" s="29">
      <c r="A14" s="41" t="inlineStr">
        <is>
          <t>Good driver discount</t>
        </is>
      </c>
      <c r="B14" s="41" t="inlineStr">
        <is>
          <t>Driver</t>
        </is>
      </c>
      <c r="C14" s="41" t="inlineStr">
        <is>
          <t>California</t>
        </is>
      </c>
      <c r="D14" s="41" t="inlineStr">
        <is>
          <t>Mandated: every insurer must offer</t>
        </is>
      </c>
      <c r="E14" s="41" t="inlineStr">
        <is>
          <t>At least 20% below comparable non-good-driver rate</t>
        </is>
      </c>
      <c r="F14" s="41" t="inlineStr">
        <is>
          <t>CA Dept of Insurance - Introduction to Auto Insurance (Form 101, rev. Feb 5, 2025)</t>
        </is>
      </c>
      <c r="G14" s="42" t="inlineStr">
        <is>
          <t>https://www.insurance.ca.gov/01-consumers/105-type/95-guides/01-auto/auto101.cfm</t>
        </is>
      </c>
      <c r="H14" s="43" t="n">
        <v>46295</v>
      </c>
      <c r="I14" s="41" t="inlineStr">
        <is>
          <t>California</t>
        </is>
      </c>
      <c r="J14" s="41" t="inlineStr">
        <is>
          <t>Regulator-published</t>
        </is>
      </c>
      <c r="K14" s="44" t="inlineStr">
        <is>
          <t>Primary source</t>
        </is>
      </c>
      <c r="L14" s="43" t="n">
        <v>46295</v>
      </c>
      <c r="M14" s="41" t="inlineStr">
        <is>
          <t>Good driver: licensed 3+ consecutive years and no more than one point (CDI). Full statutory definition is Insurance Code 1861.025 - not yet read.</t>
        </is>
      </c>
    </row>
    <row r="15" ht="23.85" customHeight="1" s="29">
      <c r="A15" s="41" t="inlineStr">
        <is>
          <t>Driver training / defensive driving discount</t>
        </is>
      </c>
      <c r="B15" s="41" t="inlineStr">
        <is>
          <t>Driver</t>
        </is>
      </c>
      <c r="C15" s="41" t="inlineStr">
        <is>
          <t>California</t>
        </is>
      </c>
      <c r="D15" s="41" t="inlineStr">
        <is>
          <t>Insurers permitted to offer (optional factor)</t>
        </is>
      </c>
      <c r="E15" s="41" t="inlineStr">
        <is>
          <t>Insurer-determined</t>
        </is>
      </c>
      <c r="F15" s="41" t="inlineStr">
        <is>
          <t>CDI Rate Regulation Advisory Notice 2005-02 (May 2, 2005)</t>
        </is>
      </c>
      <c r="G15" s="42" t="inlineStr">
        <is>
          <t>https://www.insurance.ca.gov/0250-insurers/0300-insurers/0200-bulletins/bulletin-notices-commiss-opinion/upload/Advisory-Notice-2005-02.pdf</t>
        </is>
      </c>
      <c r="H15" s="43" t="n">
        <v>46295</v>
      </c>
      <c r="I15" s="41" t="inlineStr">
        <is>
          <t>California</t>
        </is>
      </c>
      <c r="J15" s="41" t="inlineStr">
        <is>
          <t>Regulator-published</t>
        </is>
      </c>
      <c r="K15" s="44" t="inlineStr">
        <is>
          <t>Primary source</t>
        </is>
      </c>
      <c r="L15" s="43" t="n">
        <v>46295</v>
      </c>
      <c r="M15" s="41" t="inlineStr">
        <is>
          <t>10 CCR 2632.6 authorizes it, per Advisory Notice 2005-02.</t>
        </is>
      </c>
    </row>
    <row r="16" ht="35.05" customHeight="1" s="29">
      <c r="A16" s="41" t="inlineStr">
        <is>
          <t>Mature driver course discount (age 55+)</t>
        </is>
      </c>
      <c r="B16" s="41" t="inlineStr">
        <is>
          <t>Driver</t>
        </is>
      </c>
      <c r="C16" s="41" t="inlineStr">
        <is>
          <t>California</t>
        </is>
      </c>
      <c r="D16" s="41" t="inlineStr">
        <is>
          <t>Mandated: every admitted insurer must provide a reduction</t>
        </is>
      </c>
      <c r="E16" s="41" t="inlineStr">
        <is>
          <t>Insurer-determined percentage</t>
        </is>
      </c>
      <c r="F16" s="41" t="inlineStr">
        <is>
          <t>CA Insurance Code section 11628.3 - Mature driver (text via FindLaw)</t>
        </is>
      </c>
      <c r="G16" s="42" t="inlineStr">
        <is>
          <t>https://codes.findlaw.com/ca/insurance-code/ins-sect-11628-3/</t>
        </is>
      </c>
      <c r="H16" s="43" t="n">
        <v>46295</v>
      </c>
      <c r="I16" s="41" t="inlineStr">
        <is>
          <t>California</t>
        </is>
      </c>
      <c r="J16" s="41" t="inlineStr">
        <is>
          <t>Statute text</t>
        </is>
      </c>
      <c r="K16" s="44" t="inlineStr">
        <is>
          <t>Primary source</t>
        </is>
      </c>
      <c r="L16" s="43" t="n">
        <v>46295</v>
      </c>
      <c r="M16" s="41" t="inlineStr">
        <is>
          <t>Principal operators 55+ with DMV-approved course certificate (Ins. Code 11628.3; 13 CCR 346.00). Secondary sites claim 5-15% for three years - unverified.</t>
        </is>
      </c>
    </row>
    <row r="17" ht="23.85" customHeight="1" s="29">
      <c r="A17" s="41" t="inlineStr">
        <is>
          <t>Paid-in-full discount / six-month term surcharge</t>
        </is>
      </c>
      <c r="B17" s="41" t="inlineStr">
        <is>
          <t>Policy</t>
        </is>
      </c>
      <c r="C17" s="41" t="inlineStr">
        <is>
          <t>California</t>
        </is>
      </c>
      <c r="D17" s="41" t="inlineStr">
        <is>
          <t>Not permitted</t>
        </is>
      </c>
      <c r="E17" s="41" t="inlineStr">
        <is>
          <t>-</t>
        </is>
      </c>
      <c r="F17" s="41" t="inlineStr">
        <is>
          <t>CDI Rate Regulation Advisory Notice 2005-02 (May 2, 2005)</t>
        </is>
      </c>
      <c r="G17" s="42" t="inlineStr">
        <is>
          <t>https://www.insurance.ca.gov/0250-insurers/0300-insurers/0200-bulletins/bulletin-notices-commiss-opinion/upload/Advisory-Notice-2005-02.pdf</t>
        </is>
      </c>
      <c r="H17" s="43" t="n">
        <v>46295</v>
      </c>
      <c r="I17" s="41" t="inlineStr">
        <is>
          <t>California</t>
        </is>
      </c>
      <c r="J17" s="41" t="inlineStr">
        <is>
          <t>Regulator-published</t>
        </is>
      </c>
      <c r="K17" s="44" t="inlineStr">
        <is>
          <t>Primary source</t>
        </is>
      </c>
      <c r="L17" s="43" t="n">
        <v>46295</v>
      </c>
      <c r="M17" s="41" t="inlineStr">
        <is>
          <t>Six-month premium must be half the annual premium; no paid-in-full discount. Notice dated May 2005; confirm still current.</t>
        </is>
      </c>
    </row>
    <row r="18" ht="23.85" customHeight="1" s="29">
      <c r="A18" s="41" t="inlineStr">
        <is>
          <t>Accident prevention course</t>
        </is>
      </c>
      <c r="B18" s="41" t="inlineStr">
        <is>
          <t>Driver</t>
        </is>
      </c>
      <c r="C18" s="41" t="inlineStr">
        <is>
          <t>New York</t>
        </is>
      </c>
      <c r="D18" s="41" t="inlineStr">
        <is>
          <t>Mandated: 3-year discount on liability, collision and no-fault</t>
        </is>
      </c>
      <c r="E18" s="41" t="inlineStr">
        <is>
          <t>Amount set by insurer; must be stated on declarations</t>
        </is>
      </c>
      <c r="F18" s="41" t="inlineStr">
        <is>
          <t>NY Dept of Financial Services - Auto Insurance Information for Consumers</t>
        </is>
      </c>
      <c r="G18" s="42" t="inlineStr">
        <is>
          <t>https://www.dfs.ny.gov/consumers/auto_insurance/Auto_resource_center</t>
        </is>
      </c>
      <c r="H18" s="43" t="n">
        <v>46295</v>
      </c>
      <c r="I18" s="41" t="inlineStr">
        <is>
          <t>New York</t>
        </is>
      </c>
      <c r="J18" s="41" t="inlineStr">
        <is>
          <t>Regulator-published</t>
        </is>
      </c>
      <c r="K18" s="44" t="inlineStr">
        <is>
          <t>Primary source</t>
        </is>
      </c>
      <c r="L18" s="43" t="n">
        <v>46295</v>
      </c>
      <c r="M18" s="41" t="inlineStr">
        <is>
          <t>Also up to a four-point reduction on the license record (DMV).</t>
        </is>
      </c>
    </row>
    <row r="19" ht="35.05" customHeight="1" s="29">
      <c r="A19" s="41" t="inlineStr">
        <is>
          <t>ABS, daytime running lamps, air bags/automatic belts</t>
        </is>
      </c>
      <c r="B19" s="41" t="inlineStr">
        <is>
          <t>Vehicle</t>
        </is>
      </c>
      <c r="C19" s="41" t="inlineStr">
        <is>
          <t>New York</t>
        </is>
      </c>
      <c r="D19" s="41" t="inlineStr">
        <is>
          <t>Required discounts on liability, collision, no-fault and med-pay as described</t>
        </is>
      </c>
      <c r="E19" s="41" t="inlineStr">
        <is>
          <t>Amount stated on declarations</t>
        </is>
      </c>
      <c r="F19" s="41" t="inlineStr">
        <is>
          <t>NY Dept of Financial Services - Auto Insurance Information for Consumers</t>
        </is>
      </c>
      <c r="G19" s="42" t="inlineStr">
        <is>
          <t>https://www.dfs.ny.gov/consumers/auto_insurance/Auto_resource_center</t>
        </is>
      </c>
      <c r="H19" s="43" t="n">
        <v>46295</v>
      </c>
      <c r="I19" s="41" t="inlineStr">
        <is>
          <t>New York</t>
        </is>
      </c>
      <c r="J19" s="41" t="inlineStr">
        <is>
          <t>Regulator-published</t>
        </is>
      </c>
      <c r="K19" s="44" t="inlineStr">
        <is>
          <t>Primary source</t>
        </is>
      </c>
      <c r="L19" s="43" t="n">
        <v>46295</v>
      </c>
      <c r="M19" s="41" t="inlineStr">
        <is>
          <t>Anti-theft, electronic tracking and window etching discounts apply to comprehensive.</t>
        </is>
      </c>
    </row>
    <row r="20" ht="35.05" customHeight="1" s="29">
      <c r="A20" s="41" t="inlineStr">
        <is>
          <t>Telematics / usage-based</t>
        </is>
      </c>
      <c r="B20" s="41" t="inlineStr">
        <is>
          <t>Usage</t>
        </is>
      </c>
      <c r="C20" s="41" t="inlineStr">
        <is>
          <t>New York</t>
        </is>
      </c>
      <c r="D20" s="41" t="inlineStr">
        <is>
          <t>Carrier-optional; data may include miles, time of day, acceleration, braking and GPS location</t>
        </is>
      </c>
      <c r="E20" s="41" t="inlineStr">
        <is>
          <t>Insurer-determined</t>
        </is>
      </c>
      <c r="F20" s="41" t="inlineStr">
        <is>
          <t>NY Dept of Financial Services - Auto Insurance Information for Consumers</t>
        </is>
      </c>
      <c r="G20" s="42" t="inlineStr">
        <is>
          <t>https://www.dfs.ny.gov/consumers/auto_insurance/Auto_resource_center</t>
        </is>
      </c>
      <c r="H20" s="43" t="n">
        <v>46295</v>
      </c>
      <c r="I20" s="41" t="inlineStr">
        <is>
          <t>New York</t>
        </is>
      </c>
      <c r="J20" s="41" t="inlineStr">
        <is>
          <t>Regulator-published</t>
        </is>
      </c>
      <c r="K20" s="44" t="inlineStr">
        <is>
          <t>Primary source</t>
        </is>
      </c>
      <c r="L20" s="43" t="n">
        <v>46295</v>
      </c>
      <c r="M20" s="41" t="inlineStr">
        <is>
          <t>Contrast with California, which bars location collection.</t>
        </is>
      </c>
    </row>
    <row r="21" ht="23.85" customHeight="1" s="29">
      <c r="A21" s="41" t="inlineStr">
        <is>
          <t>Discounts generally</t>
        </is>
      </c>
      <c r="B21" s="41" t="inlineStr">
        <is>
          <t>Policy</t>
        </is>
      </c>
      <c r="C21" s="41" t="inlineStr">
        <is>
          <t>Texas</t>
        </is>
      </c>
      <c r="D21" s="41" t="inlineStr">
        <is>
          <t>Each company decides what to offer and how much</t>
        </is>
      </c>
      <c r="E21" s="41" t="inlineStr">
        <is>
          <t>Not stated</t>
        </is>
      </c>
      <c r="F21" s="41" t="inlineStr">
        <is>
          <t>Texas Dept of Insurance - Auto insurance guide (CB020)</t>
        </is>
      </c>
      <c r="G21" s="42" t="inlineStr">
        <is>
          <t>https://www.tdi.texas.gov/pubs/consumer/cb020.html</t>
        </is>
      </c>
      <c r="H21" s="43" t="n">
        <v>46295</v>
      </c>
      <c r="I21" s="41" t="inlineStr">
        <is>
          <t>Texas</t>
        </is>
      </c>
      <c r="J21" s="41" t="inlineStr">
        <is>
          <t>Regulator-published</t>
        </is>
      </c>
      <c r="K21" s="44" t="inlineStr">
        <is>
          <t>Primary source</t>
        </is>
      </c>
      <c r="L21" s="43" t="n">
        <v>46295</v>
      </c>
      <c r="M21" s="41" t="inlineStr">
        <is>
          <t>TDI lists airbags, ABS, antitheft, defensive driving/driver education, multi-car, multi-policy, good record as examples.</t>
        </is>
      </c>
    </row>
    <row r="22" ht="23.85" customHeight="1" s="29">
      <c r="A22" s="41" t="inlineStr">
        <is>
          <t>Driver improvement course</t>
        </is>
      </c>
      <c r="B22" s="41" t="inlineStr">
        <is>
          <t>Driver</t>
        </is>
      </c>
      <c r="C22" s="41" t="inlineStr">
        <is>
          <t>Florida</t>
        </is>
      </c>
      <c r="D22" s="41" t="inlineStr">
        <is>
          <t>Permitted; discount up to 10% presumed appropriate (2003 text)</t>
        </is>
      </c>
      <c r="E22" s="41" t="inlineStr">
        <is>
          <t>Up to 10%</t>
        </is>
      </c>
      <c r="F22" s="41" t="inlineStr">
        <is>
          <t>Florida Statutes 627.06501 - Driver improvement course discount (2003 text)</t>
        </is>
      </c>
      <c r="G22" s="42" t="inlineStr">
        <is>
          <t>https://flsenate.gov/Laws/Statutes/2003/627.06501</t>
        </is>
      </c>
      <c r="H22" s="43" t="n">
        <v>46295</v>
      </c>
      <c r="I22" s="41" t="inlineStr">
        <is>
          <t>Florida</t>
        </is>
      </c>
      <c r="J22" s="41" t="inlineStr">
        <is>
          <t>Statute text</t>
        </is>
      </c>
      <c r="K22" s="44" t="inlineStr">
        <is>
          <t>Primary source</t>
        </is>
      </c>
      <c r="L22" s="43" t="n">
        <v>46295</v>
      </c>
      <c r="M22" s="41" t="inlineStr">
        <is>
          <t>Old-year text; confirm current.</t>
        </is>
      </c>
    </row>
    <row r="23" ht="46.25" customHeight="1" s="29">
      <c r="A23" s="41" t="inlineStr">
        <is>
          <t>Safety course (sections 627.0652)</t>
        </is>
      </c>
      <c r="B23" s="41" t="inlineStr">
        <is>
          <t>Driver</t>
        </is>
      </c>
      <c r="C23" s="41" t="inlineStr">
        <is>
          <t>Florida</t>
        </is>
      </c>
      <c r="D23" s="41" t="inlineStr">
        <is>
          <t>Required reduction for approved course; lasts 3 years; insurer may condition on no at-fault accident or moving violation</t>
        </is>
      </c>
      <c r="E23" s="41" t="inlineStr">
        <is>
          <t>Not stated</t>
        </is>
      </c>
      <c r="F23" s="41" t="inlineStr">
        <is>
          <t>Florida Statutes 627.0652 - Safety course discount (2012 text)</t>
        </is>
      </c>
      <c r="G23" s="42" t="inlineStr">
        <is>
          <t>https://www.flsenate.gov/laws/statutes/2012/627.0652</t>
        </is>
      </c>
      <c r="H23" s="43" t="n">
        <v>46295</v>
      </c>
      <c r="I23" s="41" t="inlineStr">
        <is>
          <t>Florida</t>
        </is>
      </c>
      <c r="J23" s="41" t="inlineStr">
        <is>
          <t>Statute text</t>
        </is>
      </c>
      <c r="K23" s="44" t="inlineStr">
        <is>
          <t>Primary source</t>
        </is>
      </c>
      <c r="L23" s="43" t="n">
        <v>46295</v>
      </c>
      <c r="M23" s="41" t="inlineStr">
        <is>
          <t>2012 text; course aimed at drivers 55+ per the text; confirm current.</t>
        </is>
      </c>
    </row>
    <row r="24" ht="23.85" customHeight="1" s="29">
      <c r="A24" s="41" t="inlineStr">
        <is>
          <t>Specified equipment discounts</t>
        </is>
      </c>
      <c r="B24" s="41" t="inlineStr">
        <is>
          <t>Vehicle</t>
        </is>
      </c>
      <c r="C24" s="41" t="inlineStr">
        <is>
          <t>Florida</t>
        </is>
      </c>
      <c r="D24" s="41" t="inlineStr">
        <is>
          <t>Section 627.0653 exists (specified motor vehicle equipment)</t>
        </is>
      </c>
      <c r="E24" s="41" t="inlineStr">
        <is>
          <t>Not read</t>
        </is>
      </c>
      <c r="F24" s="41" t="inlineStr">
        <is>
          <t>Florida Statutes Chapter 627 (2025) - table of contents</t>
        </is>
      </c>
      <c r="G24" s="42" t="inlineStr">
        <is>
          <t>https://www.flsenate.gov/Laws/Statutes/2025/Chapter627/All</t>
        </is>
      </c>
      <c r="H24" s="43" t="n">
        <v>46295</v>
      </c>
      <c r="I24" s="41" t="inlineStr">
        <is>
          <t>Florida</t>
        </is>
      </c>
      <c r="J24" s="41" t="inlineStr">
        <is>
          <t>Statute text</t>
        </is>
      </c>
      <c r="K24" s="45" t="inlineStr">
        <is>
          <t>Secondary - unverified</t>
        </is>
      </c>
      <c r="L24" s="43" t="n">
        <v>46295</v>
      </c>
      <c r="M24" s="41" t="inlineStr">
        <is>
          <t>Only the section title was seen; read the statute.</t>
        </is>
      </c>
    </row>
    <row r="25" ht="23.85" customHeight="1" s="29">
      <c r="A25" s="41" t="inlineStr">
        <is>
          <t>Senior / mature driver course</t>
        </is>
      </c>
      <c r="B25" s="41" t="inlineStr">
        <is>
          <t>Driver</t>
        </is>
      </c>
      <c r="C25" s="41" t="inlineStr">
        <is>
          <t>Varies by state</t>
        </is>
      </c>
      <c r="D25" s="41" t="inlineStr">
        <is>
          <t>Mandated in some states; otherwise carrier-optional</t>
        </is>
      </c>
      <c r="E25" s="41" t="inlineStr">
        <is>
          <t>Typically 5%-15% for 2-3 years (course providers)</t>
        </is>
      </c>
      <c r="F25" s="41" t="inlineStr">
        <is>
          <t>SafeDriver.com - Defensive driving discount 2026</t>
        </is>
      </c>
      <c r="G25" s="42" t="inlineStr">
        <is>
          <t>https://www.safedriver.com/news/defensive-driving-for-insurance-discount-2026-how-much-you-can-really-save</t>
        </is>
      </c>
      <c r="H25" s="43" t="n">
        <v>46295</v>
      </c>
      <c r="I25" s="41" t="inlineStr">
        <is>
          <t>Multi-state</t>
        </is>
      </c>
      <c r="J25" s="41" t="inlineStr">
        <is>
          <t>Reference data (secondary source)</t>
        </is>
      </c>
      <c r="K25" s="46" t="inlineStr">
        <is>
          <t>Conflicting</t>
        </is>
      </c>
      <c r="L25" s="43" t="n">
        <v>46295</v>
      </c>
      <c r="M25" s="41" t="inlineStr">
        <is>
          <t>Sources disagree on how many states mandate it ('most' vs 'many'); age threshold varies (often 55). Provider is a course seller.</t>
        </is>
      </c>
    </row>
    <row r="26" ht="23.85" customHeight="1" s="29">
      <c r="A26" s="41" t="inlineStr">
        <is>
          <t>Good student</t>
        </is>
      </c>
      <c r="B26" s="41" t="inlineStr">
        <is>
          <t>Driver</t>
        </is>
      </c>
      <c r="C26" s="41" t="inlineStr">
        <is>
          <t>All states (carrier-defined)</t>
        </is>
      </c>
      <c r="D26" s="41" t="inlineStr">
        <is>
          <t>Carrier-optional</t>
        </is>
      </c>
      <c r="E26" s="41" t="inlineStr">
        <is>
          <t>Up to 16% (Insurance.com); up to 25% (State Farm)</t>
        </is>
      </c>
      <c r="F26" s="41" t="inlineStr">
        <is>
          <t>Insurance.com - Auto insurance discounts guide</t>
        </is>
      </c>
      <c r="G26" s="42" t="inlineStr">
        <is>
          <t>https://www.insurance.com/auto-insurance/car-insurance-discounts.html</t>
        </is>
      </c>
      <c r="H26" s="43" t="n">
        <v>46295</v>
      </c>
      <c r="I26" s="41" t="inlineStr">
        <is>
          <t>Multi-state</t>
        </is>
      </c>
      <c r="J26" s="41" t="inlineStr">
        <is>
          <t>Reference data (secondary source)</t>
        </is>
      </c>
      <c r="K26" s="45" t="inlineStr">
        <is>
          <t>Secondary - unverified</t>
        </is>
      </c>
      <c r="L26" s="43" t="n">
        <v>46295</v>
      </c>
      <c r="M26" s="41" t="inlineStr">
        <is>
          <t>Usually needs B / 3.0 average; age cap often 23-25.</t>
        </is>
      </c>
    </row>
    <row r="27" ht="23.85" customHeight="1" s="29">
      <c r="A27" s="41" t="inlineStr">
        <is>
          <t>Multi-policy (bundling)</t>
        </is>
      </c>
      <c r="B27" s="41" t="inlineStr">
        <is>
          <t>Policy</t>
        </is>
      </c>
      <c r="C27" s="41" t="inlineStr">
        <is>
          <t>All states (carrier-defined)</t>
        </is>
      </c>
      <c r="D27" s="41" t="inlineStr">
        <is>
          <t>Carrier-optional</t>
        </is>
      </c>
      <c r="E27" s="41" t="inlineStr">
        <is>
          <t>About 9% on auto on average (Insurance.com)</t>
        </is>
      </c>
      <c r="F27" s="41" t="inlineStr">
        <is>
          <t>Insurance.com - Auto insurance discounts guide</t>
        </is>
      </c>
      <c r="G27" s="42" t="inlineStr">
        <is>
          <t>https://www.insurance.com/auto-insurance/car-insurance-discounts.html</t>
        </is>
      </c>
      <c r="H27" s="43" t="n">
        <v>46295</v>
      </c>
      <c r="I27" s="41" t="inlineStr">
        <is>
          <t>Multi-state</t>
        </is>
      </c>
      <c r="J27" s="41" t="inlineStr">
        <is>
          <t>Reference data (secondary source)</t>
        </is>
      </c>
      <c r="K27" s="45" t="inlineStr">
        <is>
          <t>Secondary - unverified</t>
        </is>
      </c>
      <c r="L27" s="43" t="n">
        <v>46295</v>
      </c>
      <c r="M27" s="41" t="inlineStr">
        <is>
          <t>Also gives a discount on the home policy.</t>
        </is>
      </c>
    </row>
    <row r="28" ht="23.85" customHeight="1" s="29">
      <c r="A28" s="41" t="inlineStr">
        <is>
          <t>Safe driver / good driver</t>
        </is>
      </c>
      <c r="B28" s="41" t="inlineStr">
        <is>
          <t>Driver</t>
        </is>
      </c>
      <c r="C28" s="41" t="inlineStr">
        <is>
          <t>All states (carrier-defined)</t>
        </is>
      </c>
      <c r="D28" s="41" t="inlineStr">
        <is>
          <t>Carrier-optional</t>
        </is>
      </c>
      <c r="E28" s="41" t="inlineStr">
        <is>
          <t>Up to 30% (Insurance.com)</t>
        </is>
      </c>
      <c r="F28" s="41" t="inlineStr">
        <is>
          <t>Insurance.com - Auto insurance discounts guide</t>
        </is>
      </c>
      <c r="G28" s="42" t="inlineStr">
        <is>
          <t>https://www.insurance.com/auto-insurance/car-insurance-discounts.html</t>
        </is>
      </c>
      <c r="H28" s="43" t="n">
        <v>46295</v>
      </c>
      <c r="I28" s="41" t="inlineStr">
        <is>
          <t>Multi-state</t>
        </is>
      </c>
      <c r="J28" s="41" t="inlineStr">
        <is>
          <t>Reference data (secondary source)</t>
        </is>
      </c>
      <c r="K28" s="45" t="inlineStr">
        <is>
          <t>Secondary - unverified</t>
        </is>
      </c>
      <c r="L28" s="43" t="n">
        <v>46295</v>
      </c>
      <c r="M28" s="41" t="inlineStr">
        <is>
          <t>Definition varies by insurer.</t>
        </is>
      </c>
    </row>
    <row r="29" ht="23.85" customHeight="1" s="29">
      <c r="A29" s="41" t="inlineStr">
        <is>
          <t>Group / affinity membership</t>
        </is>
      </c>
      <c r="B29" s="41" t="inlineStr">
        <is>
          <t>Policy</t>
        </is>
      </c>
      <c r="C29" s="41" t="inlineStr">
        <is>
          <t>All states (carrier-defined)</t>
        </is>
      </c>
      <c r="D29" s="41" t="inlineStr">
        <is>
          <t>Carrier-optional</t>
        </is>
      </c>
      <c r="E29" s="41" t="inlineStr">
        <is>
          <t>Up to 25% (Insurance.com)</t>
        </is>
      </c>
      <c r="F29" s="41" t="inlineStr">
        <is>
          <t>Insurance.com - Auto insurance discounts guide</t>
        </is>
      </c>
      <c r="G29" s="42" t="inlineStr">
        <is>
          <t>https://www.insurance.com/auto-insurance/car-insurance-discounts.html</t>
        </is>
      </c>
      <c r="H29" s="43" t="n">
        <v>46295</v>
      </c>
      <c r="I29" s="41" t="inlineStr">
        <is>
          <t>Multi-state</t>
        </is>
      </c>
      <c r="J29" s="41" t="inlineStr">
        <is>
          <t>Reference data (secondary source)</t>
        </is>
      </c>
      <c r="K29" s="45" t="inlineStr">
        <is>
          <t>Secondary - unverified</t>
        </is>
      </c>
      <c r="L29" s="43" t="n">
        <v>46295</v>
      </c>
      <c r="M29" s="41" t="n"/>
    </row>
    <row r="30" ht="23.85" customHeight="1" s="29">
      <c r="A30" s="41" t="inlineStr">
        <is>
          <t>Driver education under age 21</t>
        </is>
      </c>
      <c r="B30" s="41" t="inlineStr">
        <is>
          <t>Driver</t>
        </is>
      </c>
      <c r="C30" s="41" t="inlineStr">
        <is>
          <t>Varies by state (State Farm)</t>
        </is>
      </c>
      <c r="D30" s="41" t="inlineStr">
        <is>
          <t>Carrier-optional</t>
        </is>
      </c>
      <c r="E30" s="41" t="inlineStr">
        <is>
          <t>Not stated</t>
        </is>
      </c>
      <c r="F30" s="41" t="inlineStr">
        <is>
          <t>State Farm - Auto insurance discounts</t>
        </is>
      </c>
      <c r="G30" s="42" t="inlineStr">
        <is>
          <t>https://www.statefarm.com/insurance/auto/discounts</t>
        </is>
      </c>
      <c r="H30" s="43" t="n">
        <v>46295</v>
      </c>
      <c r="I30" s="41" t="inlineStr">
        <is>
          <t>Multi-state</t>
        </is>
      </c>
      <c r="J30" s="41" t="inlineStr">
        <is>
          <t>Carrier-published</t>
        </is>
      </c>
      <c r="K30" s="44" t="inlineStr">
        <is>
          <t>Primary source</t>
        </is>
      </c>
      <c r="L30" s="43" t="n">
        <v>46295</v>
      </c>
      <c r="M30" s="41" t="inlineStr">
        <is>
          <t>State Farm states discounts vary by state.</t>
        </is>
      </c>
    </row>
    <row r="31" ht="23.85" customHeight="1" s="29">
      <c r="A31" s="41" t="inlineStr">
        <is>
          <t>Telematics / usage-based</t>
        </is>
      </c>
      <c r="B31" s="41" t="inlineStr">
        <is>
          <t>Usage</t>
        </is>
      </c>
      <c r="C31" s="41" t="inlineStr">
        <is>
          <t>Varies by carrier and state</t>
        </is>
      </c>
      <c r="D31" s="41" t="inlineStr">
        <is>
          <t>Carrier-optional</t>
        </is>
      </c>
      <c r="E31" s="41" t="inlineStr">
        <is>
          <t>See Telematics tab</t>
        </is>
      </c>
      <c r="F31" s="41" t="inlineStr">
        <is>
          <t>Insurify - Telematics car insurance programs</t>
        </is>
      </c>
      <c r="G31" s="42" t="inlineStr">
        <is>
          <t>https://insurify.com/car-insurance/coverage/telematics/</t>
        </is>
      </c>
      <c r="H31" s="43" t="n">
        <v>46295</v>
      </c>
      <c r="I31" s="41" t="inlineStr">
        <is>
          <t>Multi-state</t>
        </is>
      </c>
      <c r="J31" s="41" t="inlineStr">
        <is>
          <t>Reference data (secondary source)</t>
        </is>
      </c>
      <c r="K31" s="45" t="inlineStr">
        <is>
          <t>Secondary - unverified</t>
        </is>
      </c>
      <c r="L31" s="43" t="n">
        <v>46295</v>
      </c>
      <c r="M31" s="41" t="inlineStr">
        <is>
          <t>States have their own laws on how telematics data may be used in rating.</t>
        </is>
      </c>
    </row>
    <row r="32">
      <c r="A32" s="28" t="inlineStr">
        <is>
          <t>Required hurricane-mitigation discount (shutters, windows, doors)</t>
        </is>
      </c>
      <c r="B32" s="28" t="inlineStr">
        <is>
          <t>Property / Mitigation</t>
        </is>
      </c>
      <c r="C32" s="28" t="inlineStr">
        <is>
          <t>New York</t>
        </is>
      </c>
      <c r="D32" s="28" t="inlineStr">
        <is>
          <t>Mandated: insurers must provide discounts for hurricane-resistant shutters and hurricane-resistant windows and doors</t>
        </is>
      </c>
      <c r="E32" s="28" t="inlineStr">
        <is>
          <t>Amount not stated</t>
        </is>
      </c>
      <c r="F32" s="28" t="inlineStr">
        <is>
          <t>NY Dept of Financial Services - Ways to Save on Homeowners Insurance</t>
        </is>
      </c>
      <c r="G32" s="28" t="inlineStr">
        <is>
          <t>https://www.dfs.ny.gov/system/files/documents/2026/02/Ways-to-Save-Homeowners-Insurance.pdf</t>
        </is>
      </c>
      <c r="H32" s="48" t="n">
        <v>46296</v>
      </c>
      <c r="I32" s="28" t="inlineStr">
        <is>
          <t>New York</t>
        </is>
      </c>
      <c r="J32" s="28" t="inlineStr">
        <is>
          <t>Regulator-published</t>
        </is>
      </c>
      <c r="K32" s="28" t="inlineStr">
        <is>
          <t>Primary source</t>
        </is>
      </c>
      <c r="L32" s="48" t="n">
        <v>46296</v>
      </c>
      <c r="M32" s="28" t="inlineStr">
        <is>
          <t>Home insurance discount; distinct from NY's existing auto discount list.</t>
        </is>
      </c>
    </row>
  </sheetData>
  <autoFilter ref="A1:M31"/>
  <dataValidations count="1">
    <dataValidation sqref="K2:K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G2" display="https://www.dfs.ny.gov/consumers/auto_insurance/discounts_list" r:id="rId1"/>
    <hyperlink xmlns:r="http://schemas.openxmlformats.org/officeDocument/2006/relationships" ref="G3" display="https://www.dfs.ny.gov/consumers/auto_insurance/discounts_list" r:id="rId2"/>
    <hyperlink xmlns:r="http://schemas.openxmlformats.org/officeDocument/2006/relationships" ref="G4" display="https://www.dfs.ny.gov/consumers/auto_insurance/discounts_list" r:id="rId3"/>
    <hyperlink xmlns:r="http://schemas.openxmlformats.org/officeDocument/2006/relationships" ref="G5" display="https://www.dfs.ny.gov/consumers/auto_insurance/discounts_list" r:id="rId4"/>
    <hyperlink xmlns:r="http://schemas.openxmlformats.org/officeDocument/2006/relationships" ref="G6" display="https://www.dfs.ny.gov/consumers/auto_insurance/discounts_list" r:id="rId5"/>
    <hyperlink xmlns:r="http://schemas.openxmlformats.org/officeDocument/2006/relationships" ref="G7" display="https://www.dfs.ny.gov/consumers/auto_insurance/discounts_list" r:id="rId6"/>
    <hyperlink xmlns:r="http://schemas.openxmlformats.org/officeDocument/2006/relationships" ref="G8" display="https://www.moneygeek.com/insurance/auto/defensive-driver-courses/" r:id="rId7"/>
    <hyperlink xmlns:r="http://schemas.openxmlformats.org/officeDocument/2006/relationships" ref="G9" display="https://www.moneygeek.com/insurance/auto/defensive-driver-courses/" r:id="rId8"/>
    <hyperlink xmlns:r="http://schemas.openxmlformats.org/officeDocument/2006/relationships" ref="G10" display="https://www.geico.com/save/discounts/defensive-driver-discounts/" r:id="rId9"/>
    <hyperlink xmlns:r="http://schemas.openxmlformats.org/officeDocument/2006/relationships" ref="G11" display="https://www.geico.com/save/discounts/defensive-driver-discounts/" r:id="rId10"/>
    <hyperlink xmlns:r="http://schemas.openxmlformats.org/officeDocument/2006/relationships" ref="G12" display="https://www.geico.com/save/discounts/defensive-driver-discounts/" r:id="rId11"/>
    <hyperlink xmlns:r="http://schemas.openxmlformats.org/officeDocument/2006/relationships" ref="G13" display="https://www.moneygeek.com/insurance/auto/defensive-driver-courses/" r:id="rId12"/>
    <hyperlink xmlns:r="http://schemas.openxmlformats.org/officeDocument/2006/relationships" ref="G14" display="https://www.insurance.ca.gov/01-consumers/105-type/95-guides/01-auto/auto101.cfm" r:id="rId13"/>
    <hyperlink xmlns:r="http://schemas.openxmlformats.org/officeDocument/2006/relationships" ref="G15" display="https://www.insurance.ca.gov/0250-insurers/0300-insurers/0200-bulletins/bulletin-notices-commiss-opinion/upload/Advisory-Notice-2005-02.pdf" r:id="rId14"/>
    <hyperlink xmlns:r="http://schemas.openxmlformats.org/officeDocument/2006/relationships" ref="G16" display="https://codes.findlaw.com/ca/insurance-code/ins-sect-11628-3/" r:id="rId15"/>
    <hyperlink xmlns:r="http://schemas.openxmlformats.org/officeDocument/2006/relationships" ref="G17" display="https://www.insurance.ca.gov/0250-insurers/0300-insurers/0200-bulletins/bulletin-notices-commiss-opinion/upload/Advisory-Notice-2005-02.pdf" r:id="rId16"/>
    <hyperlink xmlns:r="http://schemas.openxmlformats.org/officeDocument/2006/relationships" ref="G18" display="https://www.dfs.ny.gov/consumers/auto_insurance/Auto_resource_center" r:id="rId17"/>
    <hyperlink xmlns:r="http://schemas.openxmlformats.org/officeDocument/2006/relationships" ref="G19" display="https://www.dfs.ny.gov/consumers/auto_insurance/Auto_resource_center" r:id="rId18"/>
    <hyperlink xmlns:r="http://schemas.openxmlformats.org/officeDocument/2006/relationships" ref="G20" display="https://www.dfs.ny.gov/consumers/auto_insurance/Auto_resource_center" r:id="rId19"/>
    <hyperlink xmlns:r="http://schemas.openxmlformats.org/officeDocument/2006/relationships" ref="G21" display="https://www.tdi.texas.gov/pubs/consumer/cb020.html" r:id="rId20"/>
    <hyperlink xmlns:r="http://schemas.openxmlformats.org/officeDocument/2006/relationships" ref="G22" display="https://flsenate.gov/Laws/Statutes/2003/627.06501" r:id="rId21"/>
    <hyperlink xmlns:r="http://schemas.openxmlformats.org/officeDocument/2006/relationships" ref="G23" display="https://www.flsenate.gov/laws/statutes/2012/627.0652" r:id="rId22"/>
    <hyperlink xmlns:r="http://schemas.openxmlformats.org/officeDocument/2006/relationships" ref="G24" display="https://www.flsenate.gov/Laws/Statutes/2025/Chapter627/All" r:id="rId23"/>
    <hyperlink xmlns:r="http://schemas.openxmlformats.org/officeDocument/2006/relationships" ref="G25" display="https://www.safedriver.com/news/defensive-driving-for-insurance-discount-2026-how-much-you-can-really-save" r:id="rId24"/>
    <hyperlink xmlns:r="http://schemas.openxmlformats.org/officeDocument/2006/relationships" ref="G26" display="https://www.insurance.com/auto-insurance/car-insurance-discounts.html" r:id="rId25"/>
    <hyperlink xmlns:r="http://schemas.openxmlformats.org/officeDocument/2006/relationships" ref="G27" display="https://www.insurance.com/auto-insurance/car-insurance-discounts.html" r:id="rId26"/>
    <hyperlink xmlns:r="http://schemas.openxmlformats.org/officeDocument/2006/relationships" ref="G28" display="https://www.insurance.com/auto-insurance/car-insurance-discounts.html" r:id="rId27"/>
    <hyperlink xmlns:r="http://schemas.openxmlformats.org/officeDocument/2006/relationships" ref="G29" display="https://www.insurance.com/auto-insurance/car-insurance-discounts.html" r:id="rId28"/>
    <hyperlink xmlns:r="http://schemas.openxmlformats.org/officeDocument/2006/relationships" ref="G30" display="https://www.statefarm.com/insurance/auto/discounts" r:id="rId29"/>
    <hyperlink xmlns:r="http://schemas.openxmlformats.org/officeDocument/2006/relationships" ref="G31" display="https://insurify.com/car-insurance/coverage/telematics/" r:id="rId3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O1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0" customWidth="1" style="28" min="1" max="1"/>
    <col width="24" customWidth="1" style="28" min="2" max="2"/>
    <col width="18" customWidth="1" style="28" min="3" max="3"/>
    <col width="32" customWidth="1" style="28" min="4" max="4"/>
    <col width="30" customWidth="1" style="28" min="5" max="5"/>
    <col width="20" customWidth="1" style="28" min="6" max="6"/>
    <col width="40" customWidth="1" style="28" min="7" max="7"/>
    <col width="34" customWidth="1" style="28" min="8" max="8"/>
    <col width="42" customWidth="1" style="28" min="9" max="9"/>
    <col width="12" customWidth="1" style="28" min="10" max="10"/>
    <col width="20" customWidth="1" style="28" min="11" max="11"/>
    <col width="24" customWidth="1" style="28" min="12" max="12"/>
    <col width="20" customWidth="1" style="28" min="13" max="13"/>
    <col width="12" customWidth="1" style="28" min="14" max="14"/>
    <col width="60" customWidth="1" style="28" min="15" max="15"/>
  </cols>
  <sheetData>
    <row r="1" ht="31.5" customHeight="1" s="29">
      <c r="A1" s="40" t="inlineStr">
        <is>
          <t>Carrier</t>
        </is>
      </c>
      <c r="B1" s="40" t="inlineStr">
        <is>
          <t>Program</t>
        </is>
      </c>
      <c r="C1" s="40" t="inlineStr">
        <is>
          <t>Type</t>
        </is>
      </c>
      <c r="D1" s="40" t="inlineStr">
        <is>
          <t>State Availability</t>
        </is>
      </c>
      <c r="E1" s="40" t="inlineStr">
        <is>
          <t>Max / Reported Discount</t>
        </is>
      </c>
      <c r="F1" s="40" t="inlineStr">
        <is>
          <t>Enrollment Discount</t>
        </is>
      </c>
      <c r="G1" s="40" t="inlineStr">
        <is>
          <t>Surcharge Possible?</t>
        </is>
      </c>
      <c r="H1" s="40" t="inlineStr">
        <is>
          <t>Source</t>
        </is>
      </c>
      <c r="I1" s="40" t="inlineStr">
        <is>
          <t>Source URL</t>
        </is>
      </c>
      <c r="J1" s="40" t="inlineStr">
        <is>
          <t>Date Collected</t>
        </is>
      </c>
      <c r="K1" s="40" t="inlineStr">
        <is>
          <t>Geographic Scope</t>
        </is>
      </c>
      <c r="L1" s="40" t="inlineStr">
        <is>
          <t>Data Type</t>
        </is>
      </c>
      <c r="M1" s="40" t="inlineStr">
        <is>
          <t>Verification Status</t>
        </is>
      </c>
      <c r="N1" s="40" t="inlineStr">
        <is>
          <t>Last Updated</t>
        </is>
      </c>
      <c r="O1" s="40" t="inlineStr">
        <is>
          <t>Notes</t>
        </is>
      </c>
    </row>
    <row r="2" ht="23.85" customHeight="1" s="29">
      <c r="A2" s="41" t="inlineStr">
        <is>
          <t>Progressive</t>
        </is>
      </c>
      <c r="B2" s="41" t="inlineStr">
        <is>
          <t>Snapshot</t>
        </is>
      </c>
      <c r="C2" s="41" t="inlineStr">
        <is>
          <t>App or plug-in device</t>
        </is>
      </c>
      <c r="D2" s="41" t="inlineStr">
        <is>
          <t>All states except California (Bankrate)</t>
        </is>
      </c>
      <c r="E2" s="41" t="inlineStr">
        <is>
          <t>Progressive: average $322 savings at renewal (reported)</t>
        </is>
      </c>
      <c r="F2" s="41" t="inlineStr">
        <is>
          <t>Not stated</t>
        </is>
      </c>
      <c r="G2" s="41" t="inlineStr">
        <is>
          <t>Yes - in some states (Progressive terms); ~20% of users see an increase at renewal (InsureMojo)</t>
        </is>
      </c>
      <c r="H2" s="41" t="inlineStr">
        <is>
          <t>Bankrate - Are telematics programs worth the discount</t>
        </is>
      </c>
      <c r="I2" s="42" t="inlineStr">
        <is>
          <t>https://www.bankrate.com/insurance/car/are-telematics-programs-worth-the-discount/</t>
        </is>
      </c>
      <c r="J2" s="43" t="n">
        <v>46295</v>
      </c>
      <c r="K2" s="41" t="inlineStr">
        <is>
          <t>US (not CA)</t>
        </is>
      </c>
      <c r="L2" s="41" t="inlineStr">
        <is>
          <t>Reference data (secondary source)</t>
        </is>
      </c>
      <c r="M2" s="46" t="inlineStr">
        <is>
          <t>Conflicting</t>
        </is>
      </c>
      <c r="N2" s="43" t="n">
        <v>46295</v>
      </c>
      <c r="O2" s="41" t="inlineStr">
        <is>
          <t>Surcharge details differ by source; confirm in state filing. Widely available (47+ states per Insurify).</t>
        </is>
      </c>
    </row>
    <row r="3" ht="23.85" customHeight="1" s="29">
      <c r="A3" s="41" t="inlineStr">
        <is>
          <t>State Farm</t>
        </is>
      </c>
      <c r="B3" s="41" t="inlineStr">
        <is>
          <t>Drive Safe &amp; Save</t>
        </is>
      </c>
      <c r="C3" s="41" t="inlineStr">
        <is>
          <t>App / mileage-based</t>
        </is>
      </c>
      <c r="D3" s="41" t="inlineStr">
        <is>
          <t>At least 47 states (Insurify)</t>
        </is>
      </c>
      <c r="E3" s="41" t="inlineStr">
        <is>
          <t>Up to 30%</t>
        </is>
      </c>
      <c r="F3" s="41" t="inlineStr">
        <is>
          <t>10% enrollment (InsureMojo)</t>
        </is>
      </c>
      <c r="G3" s="41" t="inlineStr">
        <is>
          <t>State Farm says no surcharge; Insurify says some programs can raise rates</t>
        </is>
      </c>
      <c r="H3" s="41" t="inlineStr">
        <is>
          <t>Insurify - Telematics car insurance programs</t>
        </is>
      </c>
      <c r="I3" s="42" t="inlineStr">
        <is>
          <t>https://insurify.com/car-insurance/coverage/telematics/</t>
        </is>
      </c>
      <c r="J3" s="43" t="n">
        <v>46295</v>
      </c>
      <c r="K3" s="41" t="inlineStr">
        <is>
          <t>US (47+ states)</t>
        </is>
      </c>
      <c r="L3" s="41" t="inlineStr">
        <is>
          <t>Reference data (secondary source)</t>
        </is>
      </c>
      <c r="M3" s="46" t="inlineStr">
        <is>
          <t>Conflicting</t>
        </is>
      </c>
      <c r="N3" s="43" t="n">
        <v>46295</v>
      </c>
      <c r="O3" s="41" t="inlineStr">
        <is>
          <t>Conflict on surcharge; idarb also notes program can change prior low-mileage discount.</t>
        </is>
      </c>
    </row>
    <row r="4" ht="23.85" customHeight="1" s="29">
      <c r="A4" s="41" t="inlineStr">
        <is>
          <t>Nationwide</t>
        </is>
      </c>
      <c r="B4" s="41" t="inlineStr">
        <is>
          <t>SmartRide</t>
        </is>
      </c>
      <c r="C4" s="41" t="inlineStr">
        <is>
          <t>Device / app</t>
        </is>
      </c>
      <c r="D4" s="41" t="inlineStr">
        <is>
          <t>At least 47 states (Insurify)</t>
        </is>
      </c>
      <c r="E4" s="41" t="inlineStr">
        <is>
          <t>Up to 40%</t>
        </is>
      </c>
      <c r="F4" s="41" t="inlineStr">
        <is>
          <t>10% enrollment (InsureMojo)</t>
        </is>
      </c>
      <c r="G4" s="41" t="inlineStr">
        <is>
          <t>Not stated</t>
        </is>
      </c>
      <c r="H4" s="41" t="inlineStr">
        <is>
          <t>InsureMojo - Telematics discount programs compared</t>
        </is>
      </c>
      <c r="I4" s="42" t="inlineStr">
        <is>
          <t>https://www.insuremojo.com/telematics-insurance-discount-programs/</t>
        </is>
      </c>
      <c r="J4" s="43" t="n">
        <v>46295</v>
      </c>
      <c r="K4" s="41" t="inlineStr">
        <is>
          <t>US (47+ states)</t>
        </is>
      </c>
      <c r="L4" s="41" t="inlineStr">
        <is>
          <t>Reference data (secondary source)</t>
        </is>
      </c>
      <c r="M4" s="45" t="inlineStr">
        <is>
          <t>Secondary - unverified</t>
        </is>
      </c>
      <c r="N4" s="43" t="n">
        <v>46295</v>
      </c>
      <c r="O4" s="41" t="inlineStr">
        <is>
          <t>InsureMojo says SmartRide does not track phone use.</t>
        </is>
      </c>
    </row>
    <row r="5" ht="23.85" customHeight="1" s="29">
      <c r="A5" s="41" t="inlineStr">
        <is>
          <t>GEICO</t>
        </is>
      </c>
      <c r="B5" s="41" t="inlineStr">
        <is>
          <t>DriveEasy</t>
        </is>
      </c>
      <c r="C5" s="41" t="inlineStr">
        <is>
          <t>App</t>
        </is>
      </c>
      <c r="D5" s="41" t="inlineStr">
        <is>
          <t>Not captured</t>
        </is>
      </c>
      <c r="E5" s="41" t="inlineStr">
        <is>
          <t>Not stated</t>
        </is>
      </c>
      <c r="F5" s="41" t="inlineStr">
        <is>
          <t>Not stated</t>
        </is>
      </c>
      <c r="G5" s="41" t="inlineStr">
        <is>
          <t>Insurify says can raise rates</t>
        </is>
      </c>
      <c r="H5" s="41" t="inlineStr">
        <is>
          <t>Insurify - Telematics car insurance programs</t>
        </is>
      </c>
      <c r="I5" s="42" t="inlineStr">
        <is>
          <t>https://insurify.com/car-insurance/coverage/telematics/</t>
        </is>
      </c>
      <c r="J5" s="43" t="n">
        <v>46295</v>
      </c>
      <c r="K5" s="41" t="inlineStr">
        <is>
          <t>Multi-state</t>
        </is>
      </c>
      <c r="L5" s="41" t="inlineStr">
        <is>
          <t>Reference data (secondary source)</t>
        </is>
      </c>
      <c r="M5" s="45" t="inlineStr">
        <is>
          <t>Secondary - unverified</t>
        </is>
      </c>
      <c r="N5" s="43" t="n">
        <v>46295</v>
      </c>
      <c r="O5" s="41" t="inlineStr">
        <is>
          <t>Uses driver scores to set safe-driver discounts.</t>
        </is>
      </c>
    </row>
    <row r="6" ht="23.85" customHeight="1" s="29">
      <c r="A6" s="41" t="inlineStr">
        <is>
          <t>Allstate</t>
        </is>
      </c>
      <c r="B6" s="41" t="inlineStr">
        <is>
          <t>Drivewise</t>
        </is>
      </c>
      <c r="C6" s="41" t="inlineStr">
        <is>
          <t>App / device</t>
        </is>
      </c>
      <c r="D6" s="41" t="inlineStr">
        <is>
          <t>All states except Alaska and California (Bankrate)</t>
        </is>
      </c>
      <c r="E6" s="41" t="inlineStr">
        <is>
          <t>Not stated</t>
        </is>
      </c>
      <c r="F6" s="41" t="inlineStr">
        <is>
          <t>Not stated</t>
        </is>
      </c>
      <c r="G6" s="41" t="inlineStr">
        <is>
          <t>Not stated</t>
        </is>
      </c>
      <c r="H6" s="41" t="inlineStr">
        <is>
          <t>Bankrate - Are telematics programs worth the discount</t>
        </is>
      </c>
      <c r="I6" s="42" t="inlineStr">
        <is>
          <t>https://www.bankrate.com/insurance/car/are-telematics-programs-worth-the-discount/</t>
        </is>
      </c>
      <c r="J6" s="43" t="n">
        <v>46295</v>
      </c>
      <c r="K6" s="41" t="inlineStr">
        <is>
          <t>US (not AK, CA)</t>
        </is>
      </c>
      <c r="L6" s="41" t="inlineStr">
        <is>
          <t>Reference data (secondary source)</t>
        </is>
      </c>
      <c r="M6" s="45" t="inlineStr">
        <is>
          <t>Secondary - unverified</t>
        </is>
      </c>
      <c r="N6" s="43" t="n">
        <v>46295</v>
      </c>
      <c r="O6" s="41" t="inlineStr">
        <is>
          <t>Based on three factors: speeding, hard braking, late-night driving.</t>
        </is>
      </c>
    </row>
    <row r="7" ht="23.85" customHeight="1" s="29">
      <c r="A7" s="41" t="inlineStr">
        <is>
          <t>Allstate</t>
        </is>
      </c>
      <c r="B7" s="41" t="inlineStr">
        <is>
          <t>Milewise</t>
        </is>
      </c>
      <c r="C7" s="41" t="inlineStr">
        <is>
          <t>Pay-per-mile</t>
        </is>
      </c>
      <c r="D7" s="41" t="inlineStr">
        <is>
          <t>Not captured</t>
        </is>
      </c>
      <c r="E7" s="41" t="inlineStr">
        <is>
          <t>Not stated</t>
        </is>
      </c>
      <c r="F7" s="41" t="inlineStr">
        <is>
          <t>Not stated</t>
        </is>
      </c>
      <c r="G7" s="41" t="inlineStr">
        <is>
          <t>Not stated</t>
        </is>
      </c>
      <c r="H7" s="41" t="inlineStr">
        <is>
          <t>Bankrate - Are telematics programs worth the discount</t>
        </is>
      </c>
      <c r="I7" s="42" t="inlineStr">
        <is>
          <t>https://www.bankrate.com/insurance/car/are-telematics-programs-worth-the-discount/</t>
        </is>
      </c>
      <c r="J7" s="43" t="n">
        <v>46295</v>
      </c>
      <c r="K7" s="41" t="inlineStr">
        <is>
          <t>Multi-state</t>
        </is>
      </c>
      <c r="L7" s="41" t="inlineStr">
        <is>
          <t>Reference data (secondary source)</t>
        </is>
      </c>
      <c r="M7" s="45" t="inlineStr">
        <is>
          <t>Secondary - unverified</t>
        </is>
      </c>
      <c r="N7" s="43" t="n">
        <v>46295</v>
      </c>
      <c r="O7" s="41" t="inlineStr">
        <is>
          <t>Designed for low-mileage drivers.</t>
        </is>
      </c>
    </row>
    <row r="8" ht="23.85" customHeight="1" s="29">
      <c r="A8" s="41" t="inlineStr">
        <is>
          <t>Nationwide</t>
        </is>
      </c>
      <c r="B8" s="41" t="inlineStr">
        <is>
          <t>SmartMiles</t>
        </is>
      </c>
      <c r="C8" s="41" t="inlineStr">
        <is>
          <t>Pay-per-mile</t>
        </is>
      </c>
      <c r="D8" s="41" t="inlineStr">
        <is>
          <t>Not captured</t>
        </is>
      </c>
      <c r="E8" s="41" t="inlineStr">
        <is>
          <t>Not stated</t>
        </is>
      </c>
      <c r="F8" s="41" t="inlineStr">
        <is>
          <t>Not stated</t>
        </is>
      </c>
      <c r="G8" s="41" t="inlineStr">
        <is>
          <t>Not stated</t>
        </is>
      </c>
      <c r="H8" s="41" t="inlineStr">
        <is>
          <t>Bankrate - Are telematics programs worth the discount</t>
        </is>
      </c>
      <c r="I8" s="42" t="inlineStr">
        <is>
          <t>https://www.bankrate.com/insurance/car/are-telematics-programs-worth-the-discount/</t>
        </is>
      </c>
      <c r="J8" s="43" t="n">
        <v>46295</v>
      </c>
      <c r="K8" s="41" t="inlineStr">
        <is>
          <t>Multi-state</t>
        </is>
      </c>
      <c r="L8" s="41" t="inlineStr">
        <is>
          <t>Reference data (secondary source)</t>
        </is>
      </c>
      <c r="M8" s="45" t="inlineStr">
        <is>
          <t>Secondary - unverified</t>
        </is>
      </c>
      <c r="N8" s="43" t="n">
        <v>46295</v>
      </c>
      <c r="O8" s="41" t="n"/>
    </row>
    <row r="9" ht="23.85" customHeight="1" s="29">
      <c r="A9" s="41" t="inlineStr">
        <is>
          <t>Liberty Mutual / USAA / Travelers</t>
        </is>
      </c>
      <c r="B9" s="41" t="inlineStr">
        <is>
          <t>RightTrack / SafePilot / IntelliDrive</t>
        </is>
      </c>
      <c r="C9" s="41" t="inlineStr">
        <is>
          <t>Various</t>
        </is>
      </c>
      <c r="D9" s="41" t="inlineStr">
        <is>
          <t>Not captured</t>
        </is>
      </c>
      <c r="E9" s="41" t="inlineStr">
        <is>
          <t>Not captured</t>
        </is>
      </c>
      <c r="F9" s="41" t="inlineStr">
        <is>
          <t>Not captured</t>
        </is>
      </c>
      <c r="G9" s="41" t="inlineStr">
        <is>
          <t>Not captured</t>
        </is>
      </c>
      <c r="H9" s="41" t="inlineStr">
        <is>
          <t>QuoteYeti - Telematics tradeoffs</t>
        </is>
      </c>
      <c r="I9" s="42" t="inlineStr">
        <is>
          <t>https://www.quoteyeti.com/blog/telematics-tradeoffs/</t>
        </is>
      </c>
      <c r="J9" s="43" t="n">
        <v>46295</v>
      </c>
      <c r="K9" s="41" t="inlineStr">
        <is>
          <t>Multi-state</t>
        </is>
      </c>
      <c r="L9" s="41" t="inlineStr">
        <is>
          <t>Reference data (secondary source)</t>
        </is>
      </c>
      <c r="M9" s="47" t="inlineStr">
        <is>
          <t>Not researched</t>
        </is>
      </c>
      <c r="N9" s="43" t="n">
        <v>46295</v>
      </c>
      <c r="O9" s="41" t="inlineStr">
        <is>
          <t>Named as existing programs only; terms not researched.</t>
        </is>
      </c>
    </row>
    <row r="10" ht="23.85" customHeight="1" s="29">
      <c r="A10" s="41" t="inlineStr">
        <is>
          <t>All carriers</t>
        </is>
      </c>
      <c r="B10" s="41" t="inlineStr">
        <is>
          <t>New York rule</t>
        </is>
      </c>
      <c r="C10" s="41" t="inlineStr">
        <is>
          <t>Any telematics program</t>
        </is>
      </c>
      <c r="D10" s="41" t="inlineStr">
        <is>
          <t>New York</t>
        </is>
      </c>
      <c r="E10" s="41" t="inlineStr">
        <is>
          <t>Insurer-determined</t>
        </is>
      </c>
      <c r="F10" s="41" t="inlineStr">
        <is>
          <t>Insurer-determined</t>
        </is>
      </c>
      <c r="G10" s="41" t="inlineStr">
        <is>
          <t>Not stated</t>
        </is>
      </c>
      <c r="H10" s="41" t="inlineStr">
        <is>
          <t>NY Dept of Financial Services - Auto Insurance Information for Consumers</t>
        </is>
      </c>
      <c r="I10" s="42" t="inlineStr">
        <is>
          <t>https://www.dfs.ny.gov/consumers/auto_insurance/Auto_resource_center</t>
        </is>
      </c>
      <c r="J10" s="43" t="n">
        <v>46295</v>
      </c>
      <c r="K10" s="41" t="inlineStr">
        <is>
          <t>New York</t>
        </is>
      </c>
      <c r="L10" s="41" t="inlineStr">
        <is>
          <t>Regulator-published</t>
        </is>
      </c>
      <c r="M10" s="44" t="inlineStr">
        <is>
          <t>Primary source</t>
        </is>
      </c>
      <c r="N10" s="43" t="n">
        <v>46295</v>
      </c>
      <c r="O10" s="41" t="inlineStr">
        <is>
          <t>DFS says discounts may use GPS location, miles, time of day, acceleration and braking data.</t>
        </is>
      </c>
    </row>
    <row r="11" ht="23.85" customHeight="1" s="29">
      <c r="A11" s="41" t="inlineStr">
        <is>
          <t>All carriers</t>
        </is>
      </c>
      <c r="B11" s="41" t="inlineStr">
        <is>
          <t>Texas note</t>
        </is>
      </c>
      <c r="C11" s="41" t="inlineStr">
        <is>
          <t>Any telematics program</t>
        </is>
      </c>
      <c r="D11" s="41" t="inlineStr">
        <is>
          <t>Texas</t>
        </is>
      </c>
      <c r="E11" s="41" t="inlineStr">
        <is>
          <t>Not stated</t>
        </is>
      </c>
      <c r="F11" s="41" t="inlineStr">
        <is>
          <t>Not stated</t>
        </is>
      </c>
      <c r="G11" s="41" t="inlineStr">
        <is>
          <t>Not stated</t>
        </is>
      </c>
      <c r="H11" s="41" t="inlineStr">
        <is>
          <t>Texas Dept of Insurance - Auto insurance guide (CB020)</t>
        </is>
      </c>
      <c r="I11" s="42" t="inlineStr">
        <is>
          <t>https://www.tdi.texas.gov/pubs/consumer/cb020.html</t>
        </is>
      </c>
      <c r="J11" s="43" t="n">
        <v>46295</v>
      </c>
      <c r="K11" s="41" t="inlineStr">
        <is>
          <t>Texas</t>
        </is>
      </c>
      <c r="L11" s="41" t="inlineStr">
        <is>
          <t>Regulator-published</t>
        </is>
      </c>
      <c r="M11" s="47" t="inlineStr">
        <is>
          <t>Not researched</t>
        </is>
      </c>
      <c r="N11" s="43" t="n">
        <v>46295</v>
      </c>
      <c r="O11" s="41" t="inlineStr">
        <is>
          <t>TDI links a page on how driving can lower premiums; not read.</t>
        </is>
      </c>
    </row>
  </sheetData>
  <autoFilter ref="A1:O11"/>
  <dataValidations count="1">
    <dataValidation sqref="M2:M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I2" display="https://www.bankrate.com/insurance/car/are-telematics-programs-worth-the-discount/" r:id="rId1"/>
    <hyperlink xmlns:r="http://schemas.openxmlformats.org/officeDocument/2006/relationships" ref="I3" display="https://insurify.com/car-insurance/coverage/telematics/" r:id="rId2"/>
    <hyperlink xmlns:r="http://schemas.openxmlformats.org/officeDocument/2006/relationships" ref="I4" display="https://www.insuremojo.com/telematics-insurance-discount-programs/" r:id="rId3"/>
    <hyperlink xmlns:r="http://schemas.openxmlformats.org/officeDocument/2006/relationships" ref="I5" display="https://insurify.com/car-insurance/coverage/telematics/" r:id="rId4"/>
    <hyperlink xmlns:r="http://schemas.openxmlformats.org/officeDocument/2006/relationships" ref="I6" display="https://www.bankrate.com/insurance/car/are-telematics-programs-worth-the-discount/" r:id="rId5"/>
    <hyperlink xmlns:r="http://schemas.openxmlformats.org/officeDocument/2006/relationships" ref="I7" display="https://www.bankrate.com/insurance/car/are-telematics-programs-worth-the-discount/" r:id="rId6"/>
    <hyperlink xmlns:r="http://schemas.openxmlformats.org/officeDocument/2006/relationships" ref="I8" display="https://www.bankrate.com/insurance/car/are-telematics-programs-worth-the-discount/" r:id="rId7"/>
    <hyperlink xmlns:r="http://schemas.openxmlformats.org/officeDocument/2006/relationships" ref="I9" display="https://www.quoteyeti.com/blog/telematics-tradeoffs/" r:id="rId8"/>
    <hyperlink xmlns:r="http://schemas.openxmlformats.org/officeDocument/2006/relationships" ref="I10" display="https://www.dfs.ny.gov/consumers/auto_insurance/Auto_resource_center" r:id="rId9"/>
    <hyperlink xmlns:r="http://schemas.openxmlformats.org/officeDocument/2006/relationships" ref="I11" display="https://www.tdi.texas.gov/pubs/consumer/cb020.html" r:id="rId1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L2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28" min="1" max="1"/>
    <col width="44" customWidth="1" style="28" min="2" max="2"/>
    <col width="30" customWidth="1" style="28" min="3" max="3"/>
    <col width="44" customWidth="1" style="28" min="4" max="4"/>
    <col width="34" customWidth="1" style="28" min="5" max="5"/>
    <col width="42" customWidth="1" style="28" min="6" max="6"/>
    <col width="12" customWidth="1" style="28" min="7" max="7"/>
    <col width="20" customWidth="1" style="28" min="8" max="8"/>
    <col width="24" customWidth="1" style="28" min="9" max="9"/>
    <col width="20" customWidth="1" style="28" min="10" max="10"/>
    <col width="12" customWidth="1" style="28" min="11" max="11"/>
    <col width="60" customWidth="1" style="28" min="12" max="12"/>
  </cols>
  <sheetData>
    <row r="1" ht="31.5" customHeight="1" s="29">
      <c r="A1" s="40" t="inlineStr">
        <is>
          <t>Coverage</t>
        </is>
      </c>
      <c r="B1" s="40" t="inlineStr">
        <is>
          <t>Item</t>
        </is>
      </c>
      <c r="C1" s="40" t="inlineStr">
        <is>
          <t>Value</t>
        </is>
      </c>
      <c r="D1" s="40" t="inlineStr">
        <is>
          <t>Unit / Detail</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35.05" customHeight="1" s="29">
      <c r="A2" s="41" t="inlineStr">
        <is>
          <t>Auto (all)</t>
        </is>
      </c>
      <c r="B2" s="41" t="inlineStr">
        <is>
          <t>'Full coverage' is not a real policy type</t>
        </is>
      </c>
      <c r="C2" s="41" t="inlineStr">
        <is>
          <t>-</t>
        </is>
      </c>
      <c r="D2" s="41" t="inlineStr">
        <is>
          <t>NAIC says there is no such thing as 'full coverage'; use specific coverages (liability, collision, comprehensive).</t>
        </is>
      </c>
      <c r="E2" s="41" t="inlineStr">
        <is>
          <t>NAIC Consumer Shopping Tool for Auto Insurance</t>
        </is>
      </c>
      <c r="F2" s="42" t="inlineStr">
        <is>
          <t>https://content.naic.org/sites/default/files/consumer-auto-shopping-tool.pdf</t>
        </is>
      </c>
      <c r="G2" s="43" t="n">
        <v>46295</v>
      </c>
      <c r="H2" s="41" t="inlineStr">
        <is>
          <t>US</t>
        </is>
      </c>
      <c r="I2" s="41" t="inlineStr">
        <is>
          <t>Regulator-published</t>
        </is>
      </c>
      <c r="J2" s="44" t="inlineStr">
        <is>
          <t>Primary source</t>
        </is>
      </c>
      <c r="K2" s="43" t="n">
        <v>46295</v>
      </c>
      <c r="L2" s="41" t="inlineStr">
        <is>
          <t>Use in UI wording.</t>
        </is>
      </c>
    </row>
    <row r="3" ht="23.85" customHeight="1" s="29">
      <c r="A3" s="41" t="inlineStr">
        <is>
          <t>Flood - NFIP</t>
        </is>
      </c>
      <c r="B3" s="41" t="inlineStr">
        <is>
          <t>Residential building limit (1-4 family)</t>
        </is>
      </c>
      <c r="C3" s="41" t="n">
        <v>250000</v>
      </c>
      <c r="D3" s="41" t="inlineStr">
        <is>
          <t>USD</t>
        </is>
      </c>
      <c r="E3" s="41" t="inlineStr">
        <is>
          <t>Lenders Network - Flood insurance mortgage requirements 2026</t>
        </is>
      </c>
      <c r="F3" s="42" t="inlineStr">
        <is>
          <t>https://thelendersnetwork.com/flood-insurance-mortgage-requirements/</t>
        </is>
      </c>
      <c r="G3" s="43" t="n">
        <v>46295</v>
      </c>
      <c r="H3" s="41" t="inlineStr">
        <is>
          <t>US</t>
        </is>
      </c>
      <c r="I3" s="41" t="inlineStr">
        <is>
          <t>Reference data (secondary source)</t>
        </is>
      </c>
      <c r="J3" s="45" t="inlineStr">
        <is>
          <t>Secondary - unverified</t>
        </is>
      </c>
      <c r="K3" s="43" t="n">
        <v>46295</v>
      </c>
      <c r="L3" s="41" t="inlineStr">
        <is>
          <t>Widely reported across sources; confirm on FEMA/FloodSmart.</t>
        </is>
      </c>
    </row>
    <row r="4" ht="23.85" customHeight="1" s="29">
      <c r="A4" s="41" t="inlineStr">
        <is>
          <t>Flood - NFIP</t>
        </is>
      </c>
      <c r="B4" s="41" t="inlineStr">
        <is>
          <t>Residential contents limit</t>
        </is>
      </c>
      <c r="C4" s="41" t="n">
        <v>100000</v>
      </c>
      <c r="D4" s="41" t="inlineStr">
        <is>
          <t>USD</t>
        </is>
      </c>
      <c r="E4" s="41" t="inlineStr">
        <is>
          <t>Lenders Network - Flood insurance mortgage requirements 2026</t>
        </is>
      </c>
      <c r="F4" s="42" t="inlineStr">
        <is>
          <t>https://thelendersnetwork.com/flood-insurance-mortgage-requirements/</t>
        </is>
      </c>
      <c r="G4" s="43" t="n">
        <v>46295</v>
      </c>
      <c r="H4" s="41" t="inlineStr">
        <is>
          <t>US</t>
        </is>
      </c>
      <c r="I4" s="41" t="inlineStr">
        <is>
          <t>Reference data (secondary source)</t>
        </is>
      </c>
      <c r="J4" s="45" t="inlineStr">
        <is>
          <t>Secondary - unverified</t>
        </is>
      </c>
      <c r="K4" s="43" t="n">
        <v>46295</v>
      </c>
      <c r="L4" s="41" t="inlineStr">
        <is>
          <t>Contents paid on actual-cash-value basis (per Atesa).</t>
        </is>
      </c>
    </row>
    <row r="5" ht="23.85" customHeight="1" s="29">
      <c r="A5" s="41" t="inlineStr">
        <is>
          <t>Flood - NFIP</t>
        </is>
      </c>
      <c r="B5" s="41" t="inlineStr">
        <is>
          <t>Waiting period</t>
        </is>
      </c>
      <c r="C5" s="41" t="inlineStr">
        <is>
          <t>30</t>
        </is>
      </c>
      <c r="D5" s="41" t="inlineStr">
        <is>
          <t>days; waived when bought with a mortgage closing</t>
        </is>
      </c>
      <c r="E5" s="41" t="inlineStr">
        <is>
          <t>Lenders Network - Flood insurance mortgage requirements 2026</t>
        </is>
      </c>
      <c r="F5" s="42" t="inlineStr">
        <is>
          <t>https://thelendersnetwork.com/flood-insurance-mortgage-requirements/</t>
        </is>
      </c>
      <c r="G5" s="43" t="n">
        <v>46295</v>
      </c>
      <c r="H5" s="41" t="inlineStr">
        <is>
          <t>US</t>
        </is>
      </c>
      <c r="I5" s="41" t="inlineStr">
        <is>
          <t>Reference data (secondary source)</t>
        </is>
      </c>
      <c r="J5" s="45" t="inlineStr">
        <is>
          <t>Secondary - unverified</t>
        </is>
      </c>
      <c r="K5" s="43" t="n">
        <v>46295</v>
      </c>
      <c r="L5" s="41" t="n"/>
    </row>
    <row r="6" ht="23.85" customHeight="1" s="29">
      <c r="A6" s="41" t="inlineStr">
        <is>
          <t>Flood - NFIP</t>
        </is>
      </c>
      <c r="B6" s="41" t="inlineStr">
        <is>
          <t>Average annual premium</t>
        </is>
      </c>
      <c r="C6" s="41" t="inlineStr">
        <is>
          <t>$900-$1,100</t>
        </is>
      </c>
      <c r="D6" s="41" t="inlineStr">
        <is>
          <t>USD/year</t>
        </is>
      </c>
      <c r="E6" s="41" t="inlineStr">
        <is>
          <t>Lenders Network - Flood insurance mortgage requirements 2026</t>
        </is>
      </c>
      <c r="F6" s="42" t="inlineStr">
        <is>
          <t>https://thelendersnetwork.com/flood-insurance-mortgage-requirements/</t>
        </is>
      </c>
      <c r="G6" s="43" t="n">
        <v>46295</v>
      </c>
      <c r="H6" s="41" t="inlineStr">
        <is>
          <t>US</t>
        </is>
      </c>
      <c r="I6" s="41" t="inlineStr">
        <is>
          <t>Estimate</t>
        </is>
      </c>
      <c r="J6" s="45" t="inlineStr">
        <is>
          <t>Secondary - unverified</t>
        </is>
      </c>
      <c r="K6" s="43" t="n">
        <v>46295</v>
      </c>
      <c r="L6" s="41" t="inlineStr">
        <is>
          <t>WalletGrower cites $926; Cover Forge about $900.</t>
        </is>
      </c>
    </row>
    <row r="7" ht="23.85" customHeight="1" s="29">
      <c r="A7" s="41" t="inlineStr">
        <is>
          <t>Flood - NFIP</t>
        </is>
      </c>
      <c r="B7" s="41" t="inlineStr">
        <is>
          <t>Annual premium increase cap under Risk Rating 2.0</t>
        </is>
      </c>
      <c r="C7" s="41" t="inlineStr">
        <is>
          <t>18%</t>
        </is>
      </c>
      <c r="D7" s="41" t="inlineStr">
        <is>
          <t>per year (WalletGrower citing federal law)</t>
        </is>
      </c>
      <c r="E7" s="41" t="inlineStr">
        <is>
          <t>WalletGrower - Flood insurance 2026</t>
        </is>
      </c>
      <c r="F7" s="42" t="inlineStr">
        <is>
          <t>https://walletgrower.com/insurance/homeowners-insurance/flood-insurance</t>
        </is>
      </c>
      <c r="G7" s="43" t="n">
        <v>46295</v>
      </c>
      <c r="H7" s="41" t="inlineStr">
        <is>
          <t>US</t>
        </is>
      </c>
      <c r="I7" s="41" t="inlineStr">
        <is>
          <t>Reference data (secondary source)</t>
        </is>
      </c>
      <c r="J7" s="45" t="inlineStr">
        <is>
          <t>Secondary - unverified</t>
        </is>
      </c>
      <c r="K7" s="43" t="n">
        <v>46295</v>
      </c>
      <c r="L7" s="41" t="inlineStr">
        <is>
          <t>Affiliate-linked source; verify with FEMA.</t>
        </is>
      </c>
    </row>
    <row r="8" ht="23.85" customHeight="1" s="29">
      <c r="A8" s="41" t="inlineStr">
        <is>
          <t>Flood - NFIP</t>
        </is>
      </c>
      <c r="B8" s="41" t="inlineStr">
        <is>
          <t>Share of claims from outside high-risk zones</t>
        </is>
      </c>
      <c r="C8" s="41" t="inlineStr">
        <is>
          <t>20% to 40%+</t>
        </is>
      </c>
      <c r="D8" s="41" t="inlineStr">
        <is>
          <t>varies by source</t>
        </is>
      </c>
      <c r="E8" s="41" t="inlineStr">
        <is>
          <t>Atesa Risk Advisors - Private flood vs NFIP (Florida)</t>
        </is>
      </c>
      <c r="F8" s="42" t="inlineStr">
        <is>
          <t>https://atesariskadvisors.com/blog/florida-private-flood-insurance-vs-nfip-2026</t>
        </is>
      </c>
      <c r="G8" s="43" t="n">
        <v>46295</v>
      </c>
      <c r="H8" s="41" t="inlineStr">
        <is>
          <t>US</t>
        </is>
      </c>
      <c r="I8" s="41" t="inlineStr">
        <is>
          <t>Estimate</t>
        </is>
      </c>
      <c r="J8" s="46" t="inlineStr">
        <is>
          <t>Conflicting</t>
        </is>
      </c>
      <c r="K8" s="43" t="n">
        <v>46295</v>
      </c>
      <c r="L8" s="41" t="inlineStr">
        <is>
          <t>Cover Forge says ~20%; Atesa says over 40%. Find FEMA figure.</t>
        </is>
      </c>
    </row>
    <row r="9" ht="35.05" customHeight="1" s="29">
      <c r="A9" s="41" t="inlineStr">
        <is>
          <t>Flood - NFIP</t>
        </is>
      </c>
      <c r="B9" s="41" t="inlineStr">
        <is>
          <t>Authorization status</t>
        </is>
      </c>
      <c r="C9" s="41" t="inlineStr">
        <is>
          <t>Authorized through Dec 11, 2026</t>
        </is>
      </c>
      <c r="D9" s="41" t="inlineStr">
        <is>
          <t>Continuing Appropriations Act, 2027 (P.L. 119-103, Div. A) section 139</t>
        </is>
      </c>
      <c r="E9" s="41" t="inlineStr">
        <is>
          <t>CRS - Overview of Continuing Appropriations for FY2027 (P.L. 119-103, Div. A)</t>
        </is>
      </c>
      <c r="F9" s="42" t="inlineStr">
        <is>
          <t>https://www.congress.gov/crs-product/R49353</t>
        </is>
      </c>
      <c r="G9" s="43" t="n">
        <v>46295</v>
      </c>
      <c r="H9" s="41" t="inlineStr">
        <is>
          <t>US</t>
        </is>
      </c>
      <c r="I9" s="41" t="inlineStr">
        <is>
          <t>Regulator-published</t>
        </is>
      </c>
      <c r="J9" s="44" t="inlineStr">
        <is>
          <t>Primary source</t>
        </is>
      </c>
      <c r="K9" s="43" t="n">
        <v>46295</v>
      </c>
      <c r="L9" s="41" t="inlineStr">
        <is>
          <t>Resolved: the Sept 30, 2026 deadline was extended to Dec 11, 2026. Prior lapses stalled new and renewed NFIP policies; private flood is unaffected. Check again before Dec 11, 2026.</t>
        </is>
      </c>
    </row>
    <row r="10" ht="23.85" customHeight="1" s="29">
      <c r="A10" s="41" t="inlineStr">
        <is>
          <t>Flood - Private</t>
        </is>
      </c>
      <c r="B10" s="41" t="inlineStr">
        <is>
          <t>Building limits</t>
        </is>
      </c>
      <c r="C10" s="41" t="inlineStr">
        <is>
          <t>Often above $1,000,000</t>
        </is>
      </c>
      <c r="D10" s="41" t="inlineStr">
        <is>
          <t>USD</t>
        </is>
      </c>
      <c r="E10" s="41" t="inlineStr">
        <is>
          <t>WalletGrower - Flood insurance 2026</t>
        </is>
      </c>
      <c r="F10" s="42" t="inlineStr">
        <is>
          <t>https://walletgrower.com/insurance/homeowners-insurance/flood-insurance</t>
        </is>
      </c>
      <c r="G10" s="43" t="n">
        <v>46295</v>
      </c>
      <c r="H10" s="41" t="inlineStr">
        <is>
          <t>US</t>
        </is>
      </c>
      <c r="I10" s="41" t="inlineStr">
        <is>
          <t>Reference data (secondary source)</t>
        </is>
      </c>
      <c r="J10" s="45" t="inlineStr">
        <is>
          <t>Secondary - unverified</t>
        </is>
      </c>
      <c r="K10" s="43" t="n">
        <v>46295</v>
      </c>
      <c r="L10" s="41" t="n"/>
    </row>
    <row r="11" ht="23.85" customHeight="1" s="29">
      <c r="A11" s="41" t="inlineStr">
        <is>
          <t>Flood - Private</t>
        </is>
      </c>
      <c r="B11" s="41" t="inlineStr">
        <is>
          <t>Waiting period</t>
        </is>
      </c>
      <c r="C11" s="41" t="inlineStr">
        <is>
          <t>10-14</t>
        </is>
      </c>
      <c r="D11" s="41" t="inlineStr">
        <is>
          <t>days (some shorter)</t>
        </is>
      </c>
      <c r="E11" s="41" t="inlineStr">
        <is>
          <t>WalletGrower - Flood insurance 2026</t>
        </is>
      </c>
      <c r="F11" s="42" t="inlineStr">
        <is>
          <t>https://walletgrower.com/insurance/homeowners-insurance/flood-insurance</t>
        </is>
      </c>
      <c r="G11" s="43" t="n">
        <v>46295</v>
      </c>
      <c r="H11" s="41" t="inlineStr">
        <is>
          <t>US</t>
        </is>
      </c>
      <c r="I11" s="41" t="inlineStr">
        <is>
          <t>Reference data (secondary source)</t>
        </is>
      </c>
      <c r="J11" s="45" t="inlineStr">
        <is>
          <t>Secondary - unverified</t>
        </is>
      </c>
      <c r="K11" s="43" t="n">
        <v>46295</v>
      </c>
      <c r="L11" s="41" t="n"/>
    </row>
    <row r="12" ht="23.85" customHeight="1" s="29">
      <c r="A12" s="41" t="inlineStr">
        <is>
          <t>Earthquake - CEA</t>
        </is>
      </c>
      <c r="B12" s="41" t="inlineStr">
        <is>
          <t>Deductible options</t>
        </is>
      </c>
      <c r="C12" s="41" t="inlineStr">
        <is>
          <t>5%, 10%, 15%, 20%, 25%</t>
        </is>
      </c>
      <c r="D12" s="41" t="inlineStr">
        <is>
          <t>of dwelling coverage</t>
        </is>
      </c>
      <c r="E12" s="41" t="inlineStr">
        <is>
          <t>California Earthquake Authority - Homeowners policies</t>
        </is>
      </c>
      <c r="F12" s="42" t="inlineStr">
        <is>
          <t>https://www.earthquakeauthority.com/california-earthquake-insurance-policies/homeowners</t>
        </is>
      </c>
      <c r="G12" s="43" t="n">
        <v>46295</v>
      </c>
      <c r="H12" s="41" t="inlineStr">
        <is>
          <t>California</t>
        </is>
      </c>
      <c r="I12" s="41" t="inlineStr">
        <is>
          <t>Regulator-published</t>
        </is>
      </c>
      <c r="J12" s="44" t="inlineStr">
        <is>
          <t>Primary source</t>
        </is>
      </c>
      <c r="K12" s="43" t="n">
        <v>46295</v>
      </c>
      <c r="L12" s="41" t="inlineStr">
        <is>
          <t>Homes over $1M dwelling limit, or pre-1980 raised-foundation homes without verified retrofit, only 15%-25%.</t>
        </is>
      </c>
    </row>
    <row r="13" ht="23.85" customHeight="1" s="29">
      <c r="A13" s="41" t="inlineStr">
        <is>
          <t>Earthquake - CEA</t>
        </is>
      </c>
      <c r="B13" s="41" t="inlineStr">
        <is>
          <t>Standard deductible</t>
        </is>
      </c>
      <c r="C13" s="41" t="inlineStr">
        <is>
          <t>15%</t>
        </is>
      </c>
      <c r="D13" s="41" t="inlineStr">
        <is>
          <t>of dwelling coverage</t>
        </is>
      </c>
      <c r="E13" s="41" t="inlineStr">
        <is>
          <t>Express Financial - Earthquake insurance in California</t>
        </is>
      </c>
      <c r="F13" s="42" t="inlineStr">
        <is>
          <t>https://expressfinancial.net/p/earthquake-insurance-california</t>
        </is>
      </c>
      <c r="G13" s="43" t="n">
        <v>46295</v>
      </c>
      <c r="H13" s="41" t="inlineStr">
        <is>
          <t>California</t>
        </is>
      </c>
      <c r="I13" s="41" t="inlineStr">
        <is>
          <t>Reference data (secondary source)</t>
        </is>
      </c>
      <c r="J13" s="45" t="inlineStr">
        <is>
          <t>Secondary - unverified</t>
        </is>
      </c>
      <c r="K13" s="43" t="n">
        <v>46295</v>
      </c>
      <c r="L13" s="41" t="n"/>
    </row>
    <row r="14" ht="23.85" customHeight="1" s="29">
      <c r="A14" s="41" t="inlineStr">
        <is>
          <t>Earthquake - CEA</t>
        </is>
      </c>
      <c r="B14" s="41" t="inlineStr">
        <is>
          <t>Retrofit premium discount</t>
        </is>
      </c>
      <c r="C14" s="41" t="inlineStr">
        <is>
          <t>Up to 25%</t>
        </is>
      </c>
      <c r="D14" s="41" t="inlineStr">
        <is>
          <t>of premium</t>
        </is>
      </c>
      <c r="E14" s="41" t="inlineStr">
        <is>
          <t>California Earthquake Authority - Homeowners policies</t>
        </is>
      </c>
      <c r="F14" s="42" t="inlineStr">
        <is>
          <t>https://www.earthquakeauthority.com/california-earthquake-insurance-policies/homeowners</t>
        </is>
      </c>
      <c r="G14" s="43" t="n">
        <v>46295</v>
      </c>
      <c r="H14" s="41" t="inlineStr">
        <is>
          <t>California</t>
        </is>
      </c>
      <c r="I14" s="41" t="inlineStr">
        <is>
          <t>Regulator-published</t>
        </is>
      </c>
      <c r="J14" s="44" t="inlineStr">
        <is>
          <t>Primary source</t>
        </is>
      </c>
      <c r="K14" s="43" t="n">
        <v>46295</v>
      </c>
      <c r="L14" s="41" t="n"/>
    </row>
    <row r="15" ht="23.85" customHeight="1" s="29">
      <c r="A15" s="41" t="inlineStr">
        <is>
          <t>Earthquake - CEA</t>
        </is>
      </c>
      <c r="B15" s="41" t="inlineStr">
        <is>
          <t>Loss of use deductible</t>
        </is>
      </c>
      <c r="C15" s="41" t="inlineStr">
        <is>
          <t>None</t>
        </is>
      </c>
      <c r="D15" s="41" t="inlineStr">
        <is>
          <t>-</t>
        </is>
      </c>
      <c r="E15" s="41" t="inlineStr">
        <is>
          <t>California Earthquake Authority - Homeowners policies</t>
        </is>
      </c>
      <c r="F15" s="42" t="inlineStr">
        <is>
          <t>https://www.earthquakeauthority.com/california-earthquake-insurance-policies/homeowners</t>
        </is>
      </c>
      <c r="G15" s="43" t="n">
        <v>46295</v>
      </c>
      <c r="H15" s="41" t="inlineStr">
        <is>
          <t>California</t>
        </is>
      </c>
      <c r="I15" s="41" t="inlineStr">
        <is>
          <t>Regulator-published</t>
        </is>
      </c>
      <c r="J15" s="44" t="inlineStr">
        <is>
          <t>Primary source</t>
        </is>
      </c>
      <c r="K15" s="43" t="n">
        <v>46295</v>
      </c>
      <c r="L15" s="41" t="n"/>
    </row>
    <row r="16" ht="23.85" customHeight="1" s="29">
      <c r="A16" s="41" t="inlineStr">
        <is>
          <t>Earthquake - CA law</t>
        </is>
      </c>
      <c r="B16" s="41" t="inlineStr">
        <is>
          <t>Insurers must offer earthquake coverage</t>
        </is>
      </c>
      <c r="C16" s="41" t="inlineStr">
        <is>
          <t>Re-offer every other year if declined</t>
        </is>
      </c>
      <c r="D16" s="41" t="inlineStr">
        <is>
          <t>Insurance Code chapter 8.5 (per source)</t>
        </is>
      </c>
      <c r="E16" s="41" t="inlineStr">
        <is>
          <t>Express Financial - Earthquake insurance in California</t>
        </is>
      </c>
      <c r="F16" s="42" t="inlineStr">
        <is>
          <t>https://expressfinancial.net/p/earthquake-insurance-california</t>
        </is>
      </c>
      <c r="G16" s="43" t="n">
        <v>46295</v>
      </c>
      <c r="H16" s="41" t="inlineStr">
        <is>
          <t>California</t>
        </is>
      </c>
      <c r="I16" s="41" t="inlineStr">
        <is>
          <t>Reference data (secondary source)</t>
        </is>
      </c>
      <c r="J16" s="45" t="inlineStr">
        <is>
          <t>Secondary - unverified</t>
        </is>
      </c>
      <c r="K16" s="43" t="n">
        <v>46295</v>
      </c>
      <c r="L16" s="41" t="inlineStr">
        <is>
          <t>Confirm statute with CDI.</t>
        </is>
      </c>
    </row>
    <row r="17" ht="23.85" customHeight="1" s="29">
      <c r="A17" s="41" t="inlineStr">
        <is>
          <t>Earthquake - CEA</t>
        </is>
      </c>
      <c r="B17" s="41" t="inlineStr">
        <is>
          <t>Typical annual premium</t>
        </is>
      </c>
      <c r="C17" s="41" t="inlineStr">
        <is>
          <t>$800-$5,000+</t>
        </is>
      </c>
      <c r="D17" s="41" t="inlineStr">
        <is>
          <t>USD/year</t>
        </is>
      </c>
      <c r="E17" s="41" t="inlineStr">
        <is>
          <t>EarthquakeNearMe - CA earthquake insurance cost</t>
        </is>
      </c>
      <c r="F17" s="42" t="inlineStr">
        <is>
          <t>https://www.earthquakenearme.com/en/blog/earthquake-insurance-california</t>
        </is>
      </c>
      <c r="G17" s="43" t="n">
        <v>46295</v>
      </c>
      <c r="H17" s="41" t="inlineStr">
        <is>
          <t>California</t>
        </is>
      </c>
      <c r="I17" s="41" t="inlineStr">
        <is>
          <t>Estimate</t>
        </is>
      </c>
      <c r="J17" s="45" t="inlineStr">
        <is>
          <t>Secondary - unverified</t>
        </is>
      </c>
      <c r="K17" s="43" t="n">
        <v>46295</v>
      </c>
      <c r="L17" s="41" t="inlineStr">
        <is>
          <t>Low-reliability source; get CEA premium calculator quotes.</t>
        </is>
      </c>
    </row>
    <row r="18" ht="23.85" customHeight="1" s="29">
      <c r="A18" s="41" t="inlineStr">
        <is>
          <t>Earthquake - CA</t>
        </is>
      </c>
      <c r="B18" s="41" t="inlineStr">
        <is>
          <t>Share of homeowners carrying coverage</t>
        </is>
      </c>
      <c r="C18" s="41" t="inlineStr">
        <is>
          <t>About 13%</t>
        </is>
      </c>
      <c r="D18" s="41" t="inlineStr">
        <is>
          <t>of CA homeowners</t>
        </is>
      </c>
      <c r="E18" s="41" t="inlineStr">
        <is>
          <t>EarthquakeNearMe - CA earthquake insurance cost</t>
        </is>
      </c>
      <c r="F18" s="42" t="inlineStr">
        <is>
          <t>https://www.earthquakenearme.com/en/blog/earthquake-insurance-california</t>
        </is>
      </c>
      <c r="G18" s="43" t="n">
        <v>46295</v>
      </c>
      <c r="H18" s="41" t="inlineStr">
        <is>
          <t>California</t>
        </is>
      </c>
      <c r="I18" s="41" t="inlineStr">
        <is>
          <t>Estimate</t>
        </is>
      </c>
      <c r="J18" s="45" t="inlineStr">
        <is>
          <t>Secondary - unverified</t>
        </is>
      </c>
      <c r="K18" s="43" t="n">
        <v>46295</v>
      </c>
      <c r="L18" s="41" t="inlineStr">
        <is>
          <t>Low-reliability source.</t>
        </is>
      </c>
    </row>
    <row r="19" ht="23.85" customHeight="1" s="29">
      <c r="A19" s="41" t="inlineStr">
        <is>
          <t>Earthquake</t>
        </is>
      </c>
      <c r="B19" s="41" t="inlineStr">
        <is>
          <t>Standard homeowners policies</t>
        </is>
      </c>
      <c r="C19" s="41" t="inlineStr">
        <is>
          <t>Exclude earthquake damage</t>
        </is>
      </c>
      <c r="D19" s="41" t="inlineStr">
        <is>
          <t>-</t>
        </is>
      </c>
      <c r="E19" s="41" t="inlineStr">
        <is>
          <t>Express Financial - Earthquake insurance in California</t>
        </is>
      </c>
      <c r="F19" s="42" t="inlineStr">
        <is>
          <t>https://expressfinancial.net/p/earthquake-insurance-california</t>
        </is>
      </c>
      <c r="G19" s="43" t="n">
        <v>46295</v>
      </c>
      <c r="H19" s="41" t="inlineStr">
        <is>
          <t>US</t>
        </is>
      </c>
      <c r="I19" s="41" t="inlineStr">
        <is>
          <t>Reference data (secondary source)</t>
        </is>
      </c>
      <c r="J19" s="45" t="inlineStr">
        <is>
          <t>Secondary - unverified</t>
        </is>
      </c>
      <c r="K19" s="43" t="n">
        <v>46295</v>
      </c>
      <c r="L19" s="41" t="inlineStr">
        <is>
          <t>HOA master policies also commonly exclude it (same source).</t>
        </is>
      </c>
    </row>
    <row r="20" ht="23.85" customHeight="1" s="29">
      <c r="A20" s="41" t="inlineStr">
        <is>
          <t>Umbrella</t>
        </is>
      </c>
      <c r="B20" s="41" t="inlineStr">
        <is>
          <t>$1M personal umbrella annual cost</t>
        </is>
      </c>
      <c r="C20" s="41" t="inlineStr">
        <is>
          <t>$200-$500 typical; over $1,000 possible</t>
        </is>
      </c>
      <c r="D20" s="41" t="inlineStr">
        <is>
          <t>USD/year</t>
        </is>
      </c>
      <c r="E20" s="41" t="inlineStr">
        <is>
          <t>NerdWallet - Umbrella insurance guide</t>
        </is>
      </c>
      <c r="F20" s="42" t="inlineStr">
        <is>
          <t>https://www.nerdwallet.com/insurance/homeowners/learn/umbrella-insurance</t>
        </is>
      </c>
      <c r="G20" s="43" t="n">
        <v>46295</v>
      </c>
      <c r="H20" s="41" t="inlineStr">
        <is>
          <t>US</t>
        </is>
      </c>
      <c r="I20" s="41" t="inlineStr">
        <is>
          <t>Estimate</t>
        </is>
      </c>
      <c r="J20" s="45" t="inlineStr">
        <is>
          <t>Secondary - unverified</t>
        </is>
      </c>
      <c r="K20" s="43" t="n">
        <v>46295</v>
      </c>
      <c r="L20" s="41" t="inlineStr">
        <is>
          <t>Kiplinger/Trusted Choice: average about $380 for $1-2M.</t>
        </is>
      </c>
    </row>
    <row r="21" ht="23.85" customHeight="1" s="29">
      <c r="A21" s="41" t="inlineStr">
        <is>
          <t>Umbrella</t>
        </is>
      </c>
      <c r="B21" s="41" t="inlineStr">
        <is>
          <t>Cost of each additional $1M</t>
        </is>
      </c>
      <c r="C21" s="41" t="inlineStr">
        <is>
          <t>$50-$150</t>
        </is>
      </c>
      <c r="D21" s="41" t="inlineStr">
        <is>
          <t>USD/year</t>
        </is>
      </c>
      <c r="E21" s="41" t="inlineStr">
        <is>
          <t>Real Cost Report - Umbrella insurance cost 2026</t>
        </is>
      </c>
      <c r="F21" s="42" t="inlineStr">
        <is>
          <t>https://www.realcostreport.com/insurance/home-insurance/umbrella-insurance-cost/</t>
        </is>
      </c>
      <c r="G21" s="43" t="n">
        <v>46295</v>
      </c>
      <c r="H21" s="41" t="inlineStr">
        <is>
          <t>US</t>
        </is>
      </c>
      <c r="I21" s="41" t="inlineStr">
        <is>
          <t>Estimate</t>
        </is>
      </c>
      <c r="J21" s="46" t="inlineStr">
        <is>
          <t>Conflicting</t>
        </is>
      </c>
      <c r="K21" s="43" t="n">
        <v>46295</v>
      </c>
      <c r="L21" s="41" t="inlineStr">
        <is>
          <t>Real Cost Report says $50-$75; UseCalcPro says $75-$150.</t>
        </is>
      </c>
    </row>
    <row r="22" ht="23.85" customHeight="1" s="29">
      <c r="A22" s="41" t="inlineStr">
        <is>
          <t>Umbrella</t>
        </is>
      </c>
      <c r="B22" s="41" t="inlineStr">
        <is>
          <t>Typical required underlying auto limits</t>
        </is>
      </c>
      <c r="C22" s="41" t="inlineStr">
        <is>
          <t>250/500/100</t>
        </is>
      </c>
      <c r="D22" s="41" t="inlineStr">
        <is>
          <t>BI per person / per accident / PD</t>
        </is>
      </c>
      <c r="E22" s="41" t="inlineStr">
        <is>
          <t>UseCalcPro - Umbrella quote calculator</t>
        </is>
      </c>
      <c r="F22" s="42" t="inlineStr">
        <is>
          <t>https://usecalcpro.com/finance/umbrella-insurance-quote-calculator</t>
        </is>
      </c>
      <c r="G22" s="43" t="n">
        <v>46295</v>
      </c>
      <c r="H22" s="41" t="inlineStr">
        <is>
          <t>US</t>
        </is>
      </c>
      <c r="I22" s="41" t="inlineStr">
        <is>
          <t>Reference data (secondary source)</t>
        </is>
      </c>
      <c r="J22" s="45" t="inlineStr">
        <is>
          <t>Secondary - unverified</t>
        </is>
      </c>
      <c r="K22" s="43" t="n">
        <v>46295</v>
      </c>
      <c r="L22" s="41" t="inlineStr">
        <is>
          <t>Kiplinger cites $250,000 auto and $300,000 home liability. One source says CA/NY/FL often require 500/500/100.</t>
        </is>
      </c>
    </row>
    <row r="23" ht="23.85" customHeight="1" s="29">
      <c r="A23" s="41" t="inlineStr">
        <is>
          <t>Umbrella</t>
        </is>
      </c>
      <c r="B23" s="41" t="inlineStr">
        <is>
          <t>Typical required underlying home liability</t>
        </is>
      </c>
      <c r="C23" s="41" t="inlineStr">
        <is>
          <t>300000</t>
        </is>
      </c>
      <c r="D23" s="41" t="inlineStr">
        <is>
          <t>USD</t>
        </is>
      </c>
      <c r="E23" s="41" t="inlineStr">
        <is>
          <t>Kiplinger - How much umbrella insurance do I need</t>
        </is>
      </c>
      <c r="F23" s="42" t="inlineStr">
        <is>
          <t>https://www.kiplinger.com/personal-finance/insurance/umbrella-insurance/603237/how-much-umbrella-insurance-do-i-need</t>
        </is>
      </c>
      <c r="G23" s="43" t="n">
        <v>46295</v>
      </c>
      <c r="H23" s="41" t="inlineStr">
        <is>
          <t>US</t>
        </is>
      </c>
      <c r="I23" s="41" t="inlineStr">
        <is>
          <t>Reference data (secondary source)</t>
        </is>
      </c>
      <c r="J23" s="45" t="inlineStr">
        <is>
          <t>Secondary - unverified</t>
        </is>
      </c>
      <c r="K23" s="43" t="n">
        <v>46295</v>
      </c>
      <c r="L23" s="41" t="n"/>
    </row>
    <row r="24" ht="23.85" customHeight="1" s="29">
      <c r="A24" s="41" t="inlineStr">
        <is>
          <t>Umbrella</t>
        </is>
      </c>
      <c r="B24" s="41" t="inlineStr">
        <is>
          <t>Extra cost to raise underlying auto limits</t>
        </is>
      </c>
      <c r="C24" s="41" t="inlineStr">
        <is>
          <t>$100-$200</t>
        </is>
      </c>
      <c r="D24" s="41" t="inlineStr">
        <is>
          <t>USD/year</t>
        </is>
      </c>
      <c r="E24" s="41" t="inlineStr">
        <is>
          <t>Real Cost Report - Umbrella insurance cost 2026</t>
        </is>
      </c>
      <c r="F24" s="42" t="inlineStr">
        <is>
          <t>https://www.realcostreport.com/insurance/home-insurance/umbrella-insurance-cost/</t>
        </is>
      </c>
      <c r="G24" s="43" t="n">
        <v>46295</v>
      </c>
      <c r="H24" s="41" t="inlineStr">
        <is>
          <t>US</t>
        </is>
      </c>
      <c r="I24" s="41" t="inlineStr">
        <is>
          <t>Estimate</t>
        </is>
      </c>
      <c r="J24" s="45" t="inlineStr">
        <is>
          <t>Secondary - unverified</t>
        </is>
      </c>
      <c r="K24" s="43" t="n">
        <v>46295</v>
      </c>
      <c r="L24" s="41" t="inlineStr">
        <is>
          <t>Include in total-cost quote.</t>
        </is>
      </c>
    </row>
  </sheetData>
  <autoFilter ref="A1:L24"/>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content.naic.org/sites/default/files/consumer-auto-shopping-tool.pdf" r:id="rId1"/>
    <hyperlink xmlns:r="http://schemas.openxmlformats.org/officeDocument/2006/relationships" ref="F3" display="https://thelendersnetwork.com/flood-insurance-mortgage-requirements/" r:id="rId2"/>
    <hyperlink xmlns:r="http://schemas.openxmlformats.org/officeDocument/2006/relationships" ref="F4" display="https://thelendersnetwork.com/flood-insurance-mortgage-requirements/" r:id="rId3"/>
    <hyperlink xmlns:r="http://schemas.openxmlformats.org/officeDocument/2006/relationships" ref="F5" display="https://thelendersnetwork.com/flood-insurance-mortgage-requirements/" r:id="rId4"/>
    <hyperlink xmlns:r="http://schemas.openxmlformats.org/officeDocument/2006/relationships" ref="F6" display="https://thelendersnetwork.com/flood-insurance-mortgage-requirements/" r:id="rId5"/>
    <hyperlink xmlns:r="http://schemas.openxmlformats.org/officeDocument/2006/relationships" ref="F7" display="https://walletgrower.com/insurance/homeowners-insurance/flood-insurance" r:id="rId6"/>
    <hyperlink xmlns:r="http://schemas.openxmlformats.org/officeDocument/2006/relationships" ref="F8" display="https://atesariskadvisors.com/blog/florida-private-flood-insurance-vs-nfip-2026" r:id="rId7"/>
    <hyperlink xmlns:r="http://schemas.openxmlformats.org/officeDocument/2006/relationships" ref="F9" display="https://www.congress.gov/crs-product/R49353" r:id="rId8"/>
    <hyperlink xmlns:r="http://schemas.openxmlformats.org/officeDocument/2006/relationships" ref="F10" display="https://walletgrower.com/insurance/homeowners-insurance/flood-insurance" r:id="rId9"/>
    <hyperlink xmlns:r="http://schemas.openxmlformats.org/officeDocument/2006/relationships" ref="F11" display="https://walletgrower.com/insurance/homeowners-insurance/flood-insurance" r:id="rId10"/>
    <hyperlink xmlns:r="http://schemas.openxmlformats.org/officeDocument/2006/relationships" ref="F12" display="https://www.earthquakeauthority.com/california-earthquake-insurance-policies/homeowners" r:id="rId11"/>
    <hyperlink xmlns:r="http://schemas.openxmlformats.org/officeDocument/2006/relationships" ref="F13" display="https://expressfinancial.net/p/earthquake-insurance-california" r:id="rId12"/>
    <hyperlink xmlns:r="http://schemas.openxmlformats.org/officeDocument/2006/relationships" ref="F14" display="https://www.earthquakeauthority.com/california-earthquake-insurance-policies/homeowners" r:id="rId13"/>
    <hyperlink xmlns:r="http://schemas.openxmlformats.org/officeDocument/2006/relationships" ref="F15" display="https://www.earthquakeauthority.com/california-earthquake-insurance-policies/homeowners" r:id="rId14"/>
    <hyperlink xmlns:r="http://schemas.openxmlformats.org/officeDocument/2006/relationships" ref="F16" display="https://expressfinancial.net/p/earthquake-insurance-california" r:id="rId15"/>
    <hyperlink xmlns:r="http://schemas.openxmlformats.org/officeDocument/2006/relationships" ref="F17" display="https://www.earthquakenearme.com/en/blog/earthquake-insurance-california" r:id="rId16"/>
    <hyperlink xmlns:r="http://schemas.openxmlformats.org/officeDocument/2006/relationships" ref="F18" display="https://www.earthquakenearme.com/en/blog/earthquake-insurance-california" r:id="rId17"/>
    <hyperlink xmlns:r="http://schemas.openxmlformats.org/officeDocument/2006/relationships" ref="F19" display="https://expressfinancial.net/p/earthquake-insurance-california" r:id="rId18"/>
    <hyperlink xmlns:r="http://schemas.openxmlformats.org/officeDocument/2006/relationships" ref="F20" display="https://www.nerdwallet.com/insurance/homeowners/learn/umbrella-insurance" r:id="rId19"/>
    <hyperlink xmlns:r="http://schemas.openxmlformats.org/officeDocument/2006/relationships" ref="F21" display="https://www.realcostreport.com/insurance/home-insurance/umbrella-insurance-cost/" r:id="rId20"/>
    <hyperlink xmlns:r="http://schemas.openxmlformats.org/officeDocument/2006/relationships" ref="F22" display="https://usecalcpro.com/finance/umbrella-insurance-quote-calculator" r:id="rId21"/>
    <hyperlink xmlns:r="http://schemas.openxmlformats.org/officeDocument/2006/relationships" ref="F23" display="https://www.kiplinger.com/personal-finance/insurance/umbrella-insurance/603237/how-much-umbrella-insurance-do-i-need" r:id="rId22"/>
    <hyperlink xmlns:r="http://schemas.openxmlformats.org/officeDocument/2006/relationships" ref="F24" display="https://www.realcostreport.com/insurance/home-insurance/umbrella-insurance-cost/" r:id="rId2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8" min="1" max="1"/>
    <col width="20" customWidth="1" style="28" min="2" max="2"/>
    <col width="14" customWidth="1" style="28" min="3" max="3"/>
    <col width="40" customWidth="1" style="28" min="4" max="4"/>
    <col width="48" customWidth="1" style="28" min="5" max="5"/>
    <col width="34" customWidth="1" style="28" min="6" max="6"/>
    <col width="42" customWidth="1" style="28" min="7" max="7"/>
    <col width="12" customWidth="1" style="28" min="8" max="8"/>
    <col width="20" customWidth="1" style="28" min="9" max="9"/>
    <col width="24" customWidth="1" style="28" min="10" max="10"/>
    <col width="20" customWidth="1" style="28" min="11" max="11"/>
    <col width="12" customWidth="1" style="28" min="12" max="12"/>
    <col width="50" customWidth="1" style="28" min="13" max="13"/>
  </cols>
  <sheetData>
    <row r="1" ht="31.5" customHeight="1" s="29">
      <c r="A1" s="40" t="inlineStr">
        <is>
          <t>Line</t>
        </is>
      </c>
      <c r="B1" s="40" t="inlineStr">
        <is>
          <t>Metric</t>
        </is>
      </c>
      <c r="C1" s="40" t="inlineStr">
        <is>
          <t>Value ($/yr)</t>
        </is>
      </c>
      <c r="D1" s="40" t="inlineStr">
        <is>
          <t>Comparable Group</t>
        </is>
      </c>
      <c r="E1" s="40" t="inlineStr">
        <is>
          <t>Methodology / Definition</t>
        </is>
      </c>
      <c r="F1" s="40" t="inlineStr">
        <is>
          <t>Source</t>
        </is>
      </c>
      <c r="G1" s="40" t="inlineStr">
        <is>
          <t>Source URL</t>
        </is>
      </c>
      <c r="H1" s="40" t="inlineStr">
        <is>
          <t>Date Collected</t>
        </is>
      </c>
      <c r="I1" s="40" t="inlineStr">
        <is>
          <t>Geographic Scope</t>
        </is>
      </c>
      <c r="J1" s="40" t="inlineStr">
        <is>
          <t>Data Type</t>
        </is>
      </c>
      <c r="K1" s="40" t="inlineStr">
        <is>
          <t>Verification Status</t>
        </is>
      </c>
      <c r="L1" s="40" t="inlineStr">
        <is>
          <t>Last Updated</t>
        </is>
      </c>
      <c r="M1" s="40" t="inlineStr">
        <is>
          <t>Notes</t>
        </is>
      </c>
    </row>
    <row r="2" ht="23.85" customHeight="1" s="29">
      <c r="A2" s="41" t="inlineStr">
        <is>
          <t>Auto</t>
        </is>
      </c>
      <c r="B2" s="41" t="inlineStr">
        <is>
          <t>National average</t>
        </is>
      </c>
      <c r="C2" s="49" t="n">
        <v>1820</v>
      </c>
      <c r="D2" s="41" t="inlineStr">
        <is>
          <t>Auto full coverage annual</t>
        </is>
      </c>
      <c r="E2" s="41" t="inlineStr">
        <is>
          <t>35-yr-old, clean record, 12k miles, 100/300/100, $500 deductibles</t>
        </is>
      </c>
      <c r="F2" s="41" t="inlineStr">
        <is>
          <t>InsurTool - Average car insurance cost 2026</t>
        </is>
      </c>
      <c r="G2" s="42" t="inlineStr">
        <is>
          <t>https://insurtool.com/tools/average-car-insurance-cost/</t>
        </is>
      </c>
      <c r="H2" s="43" t="n">
        <v>46295</v>
      </c>
      <c r="I2" s="41" t="inlineStr">
        <is>
          <t>US</t>
        </is>
      </c>
      <c r="J2" s="41" t="inlineStr">
        <is>
          <t>Estimate</t>
        </is>
      </c>
      <c r="K2" s="45" t="inlineStr">
        <is>
          <t>Secondary - unverified</t>
        </is>
      </c>
      <c r="L2" s="43" t="n">
        <v>46295</v>
      </c>
      <c r="M2" s="41" t="inlineStr">
        <is>
          <t>Methodology not independently verified.</t>
        </is>
      </c>
    </row>
    <row r="3" ht="15" customHeight="1" s="29">
      <c r="A3" s="41" t="inlineStr">
        <is>
          <t>Auto</t>
        </is>
      </c>
      <c r="B3" s="41" t="inlineStr">
        <is>
          <t>National average</t>
        </is>
      </c>
      <c r="C3" s="49" t="n">
        <v>2237</v>
      </c>
      <c r="D3" s="41" t="inlineStr">
        <is>
          <t>Auto full coverage annual</t>
        </is>
      </c>
      <c r="E3" s="41" t="inlineStr">
        <is>
          <t>Insurify, first half 2026</t>
        </is>
      </c>
      <c r="F3" s="41" t="inlineStr">
        <is>
          <t>Insurify - Car insurance report (H1 2026)</t>
        </is>
      </c>
      <c r="G3" s="42" t="inlineStr">
        <is>
          <t>https://insurify.com/car-insurance/report/</t>
        </is>
      </c>
      <c r="H3" s="43" t="n">
        <v>46295</v>
      </c>
      <c r="I3" s="41" t="inlineStr">
        <is>
          <t>US</t>
        </is>
      </c>
      <c r="J3" s="41" t="inlineStr">
        <is>
          <t>Estimate</t>
        </is>
      </c>
      <c r="K3" s="45" t="inlineStr">
        <is>
          <t>Secondary - unverified</t>
        </is>
      </c>
      <c r="L3" s="43" t="n">
        <v>46295</v>
      </c>
      <c r="M3" s="41" t="inlineStr">
        <is>
          <t>Insurify projects $2,242 by year-end.</t>
        </is>
      </c>
    </row>
    <row r="4" ht="23.85" customHeight="1" s="29">
      <c r="A4" s="41" t="inlineStr">
        <is>
          <t>Auto</t>
        </is>
      </c>
      <c r="B4" s="41" t="inlineStr">
        <is>
          <t>National average</t>
        </is>
      </c>
      <c r="C4" s="49" t="n">
        <v>2496</v>
      </c>
      <c r="D4" s="41" t="inlineStr">
        <is>
          <t>Auto full coverage annual</t>
        </is>
      </c>
      <c r="E4" s="41" t="inlineStr">
        <is>
          <t>ValuePenguin 2026 ($208/month)</t>
        </is>
      </c>
      <c r="F4" s="41" t="inlineStr">
        <is>
          <t>ValuePenguin - State of Auto Insurance 2026</t>
        </is>
      </c>
      <c r="G4" s="42" t="inlineStr">
        <is>
          <t>https://www.valuepenguin.com/state-of-auto-insurance-2026</t>
        </is>
      </c>
      <c r="H4" s="43" t="n">
        <v>46295</v>
      </c>
      <c r="I4" s="41" t="inlineStr">
        <is>
          <t>US</t>
        </is>
      </c>
      <c r="J4" s="41" t="inlineStr">
        <is>
          <t>Estimate</t>
        </is>
      </c>
      <c r="K4" s="45" t="inlineStr">
        <is>
          <t>Secondary - unverified</t>
        </is>
      </c>
      <c r="L4" s="43" t="n">
        <v>46295</v>
      </c>
      <c r="M4" s="41" t="inlineStr">
        <is>
          <t>InsuredBetter reports the same figure.</t>
        </is>
      </c>
    </row>
    <row r="5" ht="15" customHeight="1" s="29">
      <c r="A5" s="41" t="inlineStr">
        <is>
          <t>Auto</t>
        </is>
      </c>
      <c r="B5" s="41" t="inlineStr">
        <is>
          <t>National average</t>
        </is>
      </c>
      <c r="C5" s="49" t="n">
        <v>2670</v>
      </c>
      <c r="D5" s="41" t="inlineStr">
        <is>
          <t>Auto full coverage annual</t>
        </is>
      </c>
      <c r="E5" s="41" t="inlineStr">
        <is>
          <t>Cinco Auto Insurance ($223/month)</t>
        </is>
      </c>
      <c r="F5" s="41" t="inlineStr">
        <is>
          <t>Cinco Auto Insurance - Average cost</t>
        </is>
      </c>
      <c r="G5" s="42" t="inlineStr">
        <is>
          <t>https://cincoautoinsurance.com/auto-insurance/cost/</t>
        </is>
      </c>
      <c r="H5" s="43" t="n">
        <v>46295</v>
      </c>
      <c r="I5" s="41" t="inlineStr">
        <is>
          <t>US</t>
        </is>
      </c>
      <c r="J5" s="41" t="inlineStr">
        <is>
          <t>Estimate</t>
        </is>
      </c>
      <c r="K5" s="45" t="inlineStr">
        <is>
          <t>Secondary - unverified</t>
        </is>
      </c>
      <c r="L5" s="43" t="n">
        <v>46295</v>
      </c>
      <c r="M5" s="41" t="inlineStr">
        <is>
          <t>Agency blog; lower reliability.</t>
        </is>
      </c>
    </row>
    <row r="6" ht="15" customHeight="1" s="29">
      <c r="A6" s="41" t="inlineStr">
        <is>
          <t>Auto</t>
        </is>
      </c>
      <c r="B6" s="41" t="inlineStr">
        <is>
          <t>National average</t>
        </is>
      </c>
      <c r="C6" s="49" t="n">
        <v>2922</v>
      </c>
      <c r="D6" s="41" t="inlineStr">
        <is>
          <t>Auto full coverage annual</t>
        </is>
      </c>
      <c r="E6" s="41" t="inlineStr">
        <is>
          <t>Experian, Aug 2026 (marketplace policies)</t>
        </is>
      </c>
      <c r="F6" s="41" t="inlineStr">
        <is>
          <t>Experian - Average cost of car insurance</t>
        </is>
      </c>
      <c r="G6" s="42" t="inlineStr">
        <is>
          <t>https://www.experian.com/blogs/ask-experian/average-cost-car-insurance/</t>
        </is>
      </c>
      <c r="H6" s="43" t="n">
        <v>46295</v>
      </c>
      <c r="I6" s="41" t="inlineStr">
        <is>
          <t>US</t>
        </is>
      </c>
      <c r="J6" s="41" t="inlineStr">
        <is>
          <t>Estimate</t>
        </is>
      </c>
      <c r="K6" s="45" t="inlineStr">
        <is>
          <t>Secondary - unverified</t>
        </is>
      </c>
      <c r="L6" s="43" t="n">
        <v>46295</v>
      </c>
      <c r="M6" s="41" t="n"/>
    </row>
    <row r="7" ht="15" customHeight="1" s="29">
      <c r="A7" s="41" t="inlineStr">
        <is>
          <t>Auto</t>
        </is>
      </c>
      <c r="B7" s="41" t="inlineStr">
        <is>
          <t>National average</t>
        </is>
      </c>
      <c r="C7" s="49" t="n">
        <v>773</v>
      </c>
      <c r="D7" s="41" t="inlineStr">
        <is>
          <t>Auto minimum coverage annual</t>
        </is>
      </c>
      <c r="E7" s="41" t="inlineStr">
        <is>
          <t>Cinco Auto Insurance</t>
        </is>
      </c>
      <c r="F7" s="41" t="inlineStr">
        <is>
          <t>Cinco Auto Insurance - Average cost</t>
        </is>
      </c>
      <c r="G7" s="42" t="inlineStr">
        <is>
          <t>https://cincoautoinsurance.com/auto-insurance/cost/</t>
        </is>
      </c>
      <c r="H7" s="43" t="n">
        <v>46295</v>
      </c>
      <c r="I7" s="41" t="inlineStr">
        <is>
          <t>US</t>
        </is>
      </c>
      <c r="J7" s="41" t="inlineStr">
        <is>
          <t>Estimate</t>
        </is>
      </c>
      <c r="K7" s="45" t="inlineStr">
        <is>
          <t>Secondary - unverified</t>
        </is>
      </c>
      <c r="L7" s="43" t="n">
        <v>46295</v>
      </c>
      <c r="M7" s="41" t="n"/>
    </row>
    <row r="8" ht="23.85" customHeight="1" s="29">
      <c r="A8" s="41" t="inlineStr">
        <is>
          <t>Auto</t>
        </is>
      </c>
      <c r="B8" s="41" t="inlineStr">
        <is>
          <t>National average</t>
        </is>
      </c>
      <c r="C8" s="49" t="n">
        <v>912</v>
      </c>
      <c r="D8" s="41" t="inlineStr">
        <is>
          <t>Auto minimum coverage annual</t>
        </is>
      </c>
      <c r="E8" s="41" t="inlineStr">
        <is>
          <t>InsuredBetter / Trusted Choice ($76/month)</t>
        </is>
      </c>
      <c r="F8" s="41" t="inlineStr">
        <is>
          <t>InsuredBetter / Trusted Choice - Car insurance cost 2026</t>
        </is>
      </c>
      <c r="G8" s="42" t="inlineStr">
        <is>
          <t>https://www.insuredbetter.com/car-insurance/compare-auto-coverage/rate-cost/</t>
        </is>
      </c>
      <c r="H8" s="43" t="n">
        <v>46295</v>
      </c>
      <c r="I8" s="41" t="inlineStr">
        <is>
          <t>US</t>
        </is>
      </c>
      <c r="J8" s="41" t="inlineStr">
        <is>
          <t>Estimate</t>
        </is>
      </c>
      <c r="K8" s="45" t="inlineStr">
        <is>
          <t>Secondary - unverified</t>
        </is>
      </c>
      <c r="L8" s="43" t="n">
        <v>46295</v>
      </c>
      <c r="M8" s="41" t="n"/>
    </row>
    <row r="9" ht="15" customHeight="1" s="29">
      <c r="A9" s="41" t="inlineStr">
        <is>
          <t>Auto</t>
        </is>
      </c>
      <c r="B9" s="41" t="inlineStr">
        <is>
          <t>National average</t>
        </is>
      </c>
      <c r="C9" s="49" t="n">
        <v>1580</v>
      </c>
      <c r="D9" s="41" t="inlineStr">
        <is>
          <t>Auto minimum coverage annual</t>
        </is>
      </c>
      <c r="E9" s="41" t="inlineStr">
        <is>
          <t>Experian, Aug 2026</t>
        </is>
      </c>
      <c r="F9" s="41" t="inlineStr">
        <is>
          <t>Experian - Average cost of car insurance</t>
        </is>
      </c>
      <c r="G9" s="42" t="inlineStr">
        <is>
          <t>https://www.experian.com/blogs/ask-experian/average-cost-car-insurance/</t>
        </is>
      </c>
      <c r="H9" s="43" t="n">
        <v>46295</v>
      </c>
      <c r="I9" s="41" t="inlineStr">
        <is>
          <t>US</t>
        </is>
      </c>
      <c r="J9" s="41" t="inlineStr">
        <is>
          <t>Estimate</t>
        </is>
      </c>
      <c r="K9" s="45" t="inlineStr">
        <is>
          <t>Secondary - unverified</t>
        </is>
      </c>
      <c r="L9" s="43" t="n">
        <v>46295</v>
      </c>
      <c r="M9" s="41" t="n"/>
    </row>
    <row r="10" ht="15" customHeight="1" s="29">
      <c r="A10" s="41" t="inlineStr">
        <is>
          <t>Auto</t>
        </is>
      </c>
      <c r="B10" s="41" t="inlineStr">
        <is>
          <t>National average</t>
        </is>
      </c>
      <c r="C10" s="49" t="n">
        <v>2262</v>
      </c>
      <c r="D10" s="41" t="inlineStr">
        <is>
          <t>Auto - all coverage levels (not in spread)</t>
        </is>
      </c>
      <c r="E10" s="41" t="inlineStr">
        <is>
          <t>Experian overall average</t>
        </is>
      </c>
      <c r="F10" s="41" t="inlineStr">
        <is>
          <t>Experian - Average cost of car insurance</t>
        </is>
      </c>
      <c r="G10" s="42" t="inlineStr">
        <is>
          <t>https://www.experian.com/blogs/ask-experian/average-cost-car-insurance/</t>
        </is>
      </c>
      <c r="H10" s="43" t="n">
        <v>46295</v>
      </c>
      <c r="I10" s="41" t="inlineStr">
        <is>
          <t>US</t>
        </is>
      </c>
      <c r="J10" s="41" t="inlineStr">
        <is>
          <t>Estimate</t>
        </is>
      </c>
      <c r="K10" s="45" t="inlineStr">
        <is>
          <t>Secondary - unverified</t>
        </is>
      </c>
      <c r="L10" s="43" t="n">
        <v>46295</v>
      </c>
      <c r="M10" s="41" t="inlineStr">
        <is>
          <t>Not comparable to full-coverage rows.</t>
        </is>
      </c>
    </row>
    <row r="11" ht="23.85" customHeight="1" s="29">
      <c r="A11" s="41" t="inlineStr">
        <is>
          <t>Auto</t>
        </is>
      </c>
      <c r="B11" s="41" t="inlineStr">
        <is>
          <t>National average</t>
        </is>
      </c>
      <c r="C11" s="49" t="n">
        <v>2510</v>
      </c>
      <c r="D11" s="41" t="inlineStr">
        <is>
          <t>Auto - coverage level unspecified (not in spread)</t>
        </is>
      </c>
      <c r="E11" s="41" t="inlineStr">
        <is>
          <t>U.S. News, Aug 2026</t>
        </is>
      </c>
      <c r="F11" s="41" t="inlineStr">
        <is>
          <t>U.S. News - Average cost of car insurance (Aug 2026)</t>
        </is>
      </c>
      <c r="G11" s="42" t="inlineStr">
        <is>
          <t>https://www.usnews.com/insurance/auto/average-cost-of-car-insurance</t>
        </is>
      </c>
      <c r="H11" s="43" t="n">
        <v>46295</v>
      </c>
      <c r="I11" s="41" t="inlineStr">
        <is>
          <t>US</t>
        </is>
      </c>
      <c r="J11" s="41" t="inlineStr">
        <is>
          <t>Estimate</t>
        </is>
      </c>
      <c r="K11" s="45" t="inlineStr">
        <is>
          <t>Secondary - unverified</t>
        </is>
      </c>
      <c r="L11" s="43" t="n">
        <v>46295</v>
      </c>
      <c r="M11" s="41" t="inlineStr">
        <is>
          <t>Coverage level unspecified.</t>
        </is>
      </c>
    </row>
    <row r="12" ht="23.85" customHeight="1" s="29">
      <c r="A12" s="41" t="inlineStr">
        <is>
          <t>Home</t>
        </is>
      </c>
      <c r="B12" s="41" t="inlineStr">
        <is>
          <t>National average</t>
        </is>
      </c>
      <c r="C12" s="49" t="n">
        <v>2490</v>
      </c>
      <c r="D12" s="41" t="inlineStr">
        <is>
          <t>Home national average annual</t>
        </is>
      </c>
      <c r="E12" s="41" t="inlineStr">
        <is>
          <t>NerdWallet analysis of 100+ insurers</t>
        </is>
      </c>
      <c r="F12" s="41" t="inlineStr">
        <is>
          <t>NerdWallet - Average homeowners insurance cost</t>
        </is>
      </c>
      <c r="G12" s="42" t="inlineStr">
        <is>
          <t>https://www.nerdwallet.com/insurance/homeowners/learn/average-homeowners-insurance-cost</t>
        </is>
      </c>
      <c r="H12" s="43" t="n">
        <v>46295</v>
      </c>
      <c r="I12" s="41" t="inlineStr">
        <is>
          <t>US</t>
        </is>
      </c>
      <c r="J12" s="41" t="inlineStr">
        <is>
          <t>Estimate</t>
        </is>
      </c>
      <c r="K12" s="45" t="inlineStr">
        <is>
          <t>Secondary - unverified</t>
        </is>
      </c>
      <c r="L12" s="43" t="n">
        <v>46295</v>
      </c>
      <c r="M12" s="41" t="n"/>
    </row>
    <row r="13" ht="15" customHeight="1" s="29">
      <c r="A13" s="41" t="inlineStr">
        <is>
          <t>Home</t>
        </is>
      </c>
      <c r="B13" s="41" t="inlineStr">
        <is>
          <t>National average</t>
        </is>
      </c>
      <c r="C13" s="49" t="n">
        <v>3012</v>
      </c>
      <c r="D13" s="41" t="inlineStr">
        <is>
          <t>Home national average annual</t>
        </is>
      </c>
      <c r="E13" s="41" t="inlineStr">
        <is>
          <t>Insurify, mid-2026</t>
        </is>
      </c>
      <c r="F13" s="41" t="inlineStr">
        <is>
          <t>Insurify - Home insurance rates H1 2026</t>
        </is>
      </c>
      <c r="G13" s="42" t="inlineStr">
        <is>
          <t>https://insurify.com/homeowners-insurance/insights/rates-increase-first-half-2026/</t>
        </is>
      </c>
      <c r="H13" s="43" t="n">
        <v>46295</v>
      </c>
      <c r="I13" s="41" t="inlineStr">
        <is>
          <t>US</t>
        </is>
      </c>
      <c r="J13" s="41" t="inlineStr">
        <is>
          <t>Estimate</t>
        </is>
      </c>
      <c r="K13" s="45" t="inlineStr">
        <is>
          <t>Secondary - unverified</t>
        </is>
      </c>
      <c r="L13" s="43" t="n">
        <v>46295</v>
      </c>
      <c r="M13" s="41" t="inlineStr">
        <is>
          <t>Insurify projected $3,057 for 2026 in March.</t>
        </is>
      </c>
    </row>
    <row r="14" ht="15" customHeight="1" s="29">
      <c r="A14" s="41" t="inlineStr">
        <is>
          <t>Home</t>
        </is>
      </c>
      <c r="B14" s="41" t="inlineStr">
        <is>
          <t>Florida average</t>
        </is>
      </c>
      <c r="C14" s="49" t="n">
        <v>8486</v>
      </c>
      <c r="D14" s="41" t="inlineStr">
        <is>
          <t>Home - state (not in spread)</t>
        </is>
      </c>
      <c r="E14" s="41" t="inlineStr">
        <is>
          <t>Insurify, H1 2026 (most expensive state)</t>
        </is>
      </c>
      <c r="F14" s="41" t="inlineStr">
        <is>
          <t>Insurify - Home insurance rates H1 2026</t>
        </is>
      </c>
      <c r="G14" s="42" t="inlineStr">
        <is>
          <t>https://insurify.com/homeowners-insurance/insights/rates-increase-first-half-2026/</t>
        </is>
      </c>
      <c r="H14" s="43" t="n">
        <v>46295</v>
      </c>
      <c r="I14" s="41" t="inlineStr">
        <is>
          <t>Florida</t>
        </is>
      </c>
      <c r="J14" s="41" t="inlineStr">
        <is>
          <t>Estimate</t>
        </is>
      </c>
      <c r="K14" s="45" t="inlineStr">
        <is>
          <t>Secondary - unverified</t>
        </is>
      </c>
      <c r="L14" s="43" t="n">
        <v>46295</v>
      </c>
      <c r="M14" s="41" t="n"/>
    </row>
    <row r="17" ht="15" customHeight="1" s="29">
      <c r="A17" s="31" t="inlineStr">
        <is>
          <t>Spread summary (formulas)</t>
        </is>
      </c>
    </row>
    <row r="18" ht="15" customHeight="1" s="29">
      <c r="A18" s="50" t="inlineStr">
        <is>
          <t>Group</t>
        </is>
      </c>
      <c r="B18" s="50" t="inlineStr">
        <is>
          <t>Low ($/yr)</t>
        </is>
      </c>
      <c r="C18" s="50" t="inlineStr">
        <is>
          <t>High ($/yr)</t>
        </is>
      </c>
      <c r="D18" s="50" t="inlineStr">
        <is>
          <t>High vs Low</t>
        </is>
      </c>
    </row>
    <row r="19" ht="15" customHeight="1" s="29">
      <c r="A19" s="39" t="inlineStr">
        <is>
          <t>Auto full coverage annual</t>
        </is>
      </c>
      <c r="B19" s="51">
        <f>MIN(C2:C6)</f>
        <v/>
      </c>
      <c r="C19" s="51">
        <f>MAX(C2:C6)</f>
        <v/>
      </c>
      <c r="D19" s="52">
        <f>C19/B19-1</f>
        <v/>
      </c>
    </row>
    <row r="20" ht="15" customHeight="1" s="29">
      <c r="A20" s="39" t="inlineStr">
        <is>
          <t>Auto minimum coverage annual</t>
        </is>
      </c>
      <c r="B20" s="51">
        <f>MIN(C7:C9)</f>
        <v/>
      </c>
      <c r="C20" s="51">
        <f>MAX(C7:C9)</f>
        <v/>
      </c>
      <c r="D20" s="52">
        <f>C20/B20-1</f>
        <v/>
      </c>
    </row>
    <row r="21" ht="15" customHeight="1" s="29">
      <c r="A21" s="39" t="inlineStr">
        <is>
          <t>Home national average annual</t>
        </is>
      </c>
      <c r="B21" s="51">
        <f>MIN(C12:C13)</f>
        <v/>
      </c>
      <c r="C21" s="51">
        <f>MAX(C12:C13)</f>
        <v/>
      </c>
      <c r="D21" s="52">
        <f>C21/B21-1</f>
        <v/>
      </c>
    </row>
    <row r="23" ht="15" customHeight="1" s="29">
      <c r="A23" s="53" t="inlineStr">
        <is>
          <t>Note: ranges above are computed from the rows in the table; if you add or remove rows, update the range references. Do not show one national average as a verdict on a user's premium.</t>
        </is>
      </c>
    </row>
  </sheetData>
  <autoFilter ref="A1:M14"/>
  <dataValidations count="1">
    <dataValidation sqref="K2:K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G2" display="https://insurtool.com/tools/average-car-insurance-cost/" r:id="rId1"/>
    <hyperlink xmlns:r="http://schemas.openxmlformats.org/officeDocument/2006/relationships" ref="G3" display="https://insurify.com/car-insurance/report/" r:id="rId2"/>
    <hyperlink xmlns:r="http://schemas.openxmlformats.org/officeDocument/2006/relationships" ref="G4" display="https://www.valuepenguin.com/state-of-auto-insurance-2026" r:id="rId3"/>
    <hyperlink xmlns:r="http://schemas.openxmlformats.org/officeDocument/2006/relationships" ref="G5" display="https://cincoautoinsurance.com/auto-insurance/cost/" r:id="rId4"/>
    <hyperlink xmlns:r="http://schemas.openxmlformats.org/officeDocument/2006/relationships" ref="G6" display="https://www.experian.com/blogs/ask-experian/average-cost-car-insurance/" r:id="rId5"/>
    <hyperlink xmlns:r="http://schemas.openxmlformats.org/officeDocument/2006/relationships" ref="G7" display="https://cincoautoinsurance.com/auto-insurance/cost/" r:id="rId6"/>
    <hyperlink xmlns:r="http://schemas.openxmlformats.org/officeDocument/2006/relationships" ref="G8" display="https://www.insuredbetter.com/car-insurance/compare-auto-coverage/rate-cost/" r:id="rId7"/>
    <hyperlink xmlns:r="http://schemas.openxmlformats.org/officeDocument/2006/relationships" ref="G9" display="https://www.experian.com/blogs/ask-experian/average-cost-car-insurance/" r:id="rId8"/>
    <hyperlink xmlns:r="http://schemas.openxmlformats.org/officeDocument/2006/relationships" ref="G10" display="https://www.experian.com/blogs/ask-experian/average-cost-car-insurance/" r:id="rId9"/>
    <hyperlink xmlns:r="http://schemas.openxmlformats.org/officeDocument/2006/relationships" ref="G11" display="https://www.usnews.com/insurance/auto/average-cost-of-car-insurance" r:id="rId10"/>
    <hyperlink xmlns:r="http://schemas.openxmlformats.org/officeDocument/2006/relationships" ref="G12" display="https://www.nerdwallet.com/insurance/homeowners/learn/average-homeowners-insurance-cost" r:id="rId11"/>
    <hyperlink xmlns:r="http://schemas.openxmlformats.org/officeDocument/2006/relationships" ref="G13" display="https://insurify.com/homeowners-insurance/insights/rates-increase-first-half-2026/" r:id="rId12"/>
    <hyperlink xmlns:r="http://schemas.openxmlformats.org/officeDocument/2006/relationships" ref="G14" display="https://insurify.com/homeowners-insurance/insights/rates-increase-first-half-2026/" r:id="rId1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L1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28" min="1" max="1"/>
    <col width="24" customWidth="1" style="28" min="2" max="2"/>
    <col width="52" customWidth="1" style="28" min="3" max="4"/>
    <col width="34" customWidth="1" style="28" min="5" max="5"/>
    <col width="42" customWidth="1" style="28" min="6" max="6"/>
    <col width="12" customWidth="1" style="28" min="7" max="7"/>
    <col width="20" customWidth="1" style="28" min="8" max="8"/>
    <col width="24" customWidth="1" style="28" min="9" max="9"/>
    <col width="20" customWidth="1" style="28" min="10" max="10"/>
    <col width="12" customWidth="1" style="28" min="11" max="11"/>
    <col width="50" customWidth="1" style="28" min="12" max="12"/>
  </cols>
  <sheetData>
    <row r="1" ht="31.5" customHeight="1" s="29">
      <c r="A1" s="40" t="inlineStr">
        <is>
          <t>Item</t>
        </is>
      </c>
      <c r="B1" s="40" t="inlineStr">
        <is>
          <t>Jurisdiction</t>
        </is>
      </c>
      <c r="C1" s="40" t="inlineStr">
        <is>
          <t>Status (as reported)</t>
        </is>
      </c>
      <c r="D1" s="40" t="inlineStr">
        <is>
          <t>Why It Matters</t>
        </is>
      </c>
      <c r="E1" s="40" t="inlineStr">
        <is>
          <t>Source</t>
        </is>
      </c>
      <c r="F1" s="40" t="inlineStr">
        <is>
          <t>Source URL</t>
        </is>
      </c>
      <c r="G1" s="40" t="inlineStr">
        <is>
          <t>Date Collected</t>
        </is>
      </c>
      <c r="H1" s="40" t="inlineStr">
        <is>
          <t>Geographic Scope</t>
        </is>
      </c>
      <c r="I1" s="40" t="inlineStr">
        <is>
          <t>Data Type</t>
        </is>
      </c>
      <c r="J1" s="40" t="inlineStr">
        <is>
          <t>Verification Status</t>
        </is>
      </c>
      <c r="K1" s="40" t="inlineStr">
        <is>
          <t>Last Updated</t>
        </is>
      </c>
      <c r="L1" s="40" t="inlineStr">
        <is>
          <t>Notes</t>
        </is>
      </c>
    </row>
    <row r="2" ht="23.85" customHeight="1" s="29">
      <c r="A2" s="41" t="inlineStr">
        <is>
          <t>NAIC AI Model Bulletin</t>
        </is>
      </c>
      <c r="B2" s="41" t="inlineStr">
        <is>
          <t>US states</t>
        </is>
      </c>
      <c r="C2" s="41" t="inlineStr">
        <is>
          <t>24 states + DC adopted as of Apr 1, 2026; CA, CO, NY, TX use own frameworks</t>
        </is>
      </c>
      <c r="D2" s="41" t="inlineStr">
        <is>
          <t>Governs insurers' AI use; not brokers. Does not create new liability or a private right of action (per sources).</t>
        </is>
      </c>
      <c r="E2" s="41" t="inlineStr">
        <is>
          <t>Tech Savvy Insurance - States that adopted NAIC AI bulletin</t>
        </is>
      </c>
      <c r="F2" s="42" t="inlineStr">
        <is>
          <t>https://techsavvyinsurance.com/answers/which-states-adopted-naic-ai-model-bulletin/</t>
        </is>
      </c>
      <c r="G2" s="43" t="n">
        <v>46295</v>
      </c>
      <c r="H2" s="41" t="inlineStr">
        <is>
          <t>US</t>
        </is>
      </c>
      <c r="I2" s="41" t="inlineStr">
        <is>
          <t>Reference data (secondary source)</t>
        </is>
      </c>
      <c r="J2" s="45" t="inlineStr">
        <is>
          <t>Secondary - unverified</t>
        </is>
      </c>
      <c r="K2" s="43" t="n">
        <v>46295</v>
      </c>
      <c r="L2" s="41" t="inlineStr">
        <is>
          <t>Relevant if you later sell tools to carriers.</t>
        </is>
      </c>
    </row>
    <row r="3" ht="23.85" customHeight="1" s="29">
      <c r="A3" s="41" t="inlineStr">
        <is>
          <t>Colorado Regulation 10-1-1</t>
        </is>
      </c>
      <c r="B3" s="41" t="inlineStr">
        <is>
          <t>Colorado</t>
        </is>
      </c>
      <c r="C3" s="41" t="inlineStr">
        <is>
          <t>Amended Oct 15, 2025; extends to private passenger auto from Jul 1, 2026</t>
        </is>
      </c>
      <c r="D3" s="41" t="inlineStr">
        <is>
          <t>Governance for insurers using external consumer data and models.</t>
        </is>
      </c>
      <c r="E3" s="41" t="inlineStr">
        <is>
          <t>Meilynx - NAIC AI Model Bulletin explained</t>
        </is>
      </c>
      <c r="F3" s="42" t="inlineStr">
        <is>
          <t>https://www.meilynx.com/reference/naic-ai-model-bulletin</t>
        </is>
      </c>
      <c r="G3" s="43" t="n">
        <v>46295</v>
      </c>
      <c r="H3" s="41" t="inlineStr">
        <is>
          <t>Colorado</t>
        </is>
      </c>
      <c r="I3" s="41" t="inlineStr">
        <is>
          <t>Reference data (secondary source)</t>
        </is>
      </c>
      <c r="J3" s="45" t="inlineStr">
        <is>
          <t>Secondary - unverified</t>
        </is>
      </c>
      <c r="K3" s="43" t="n">
        <v>46295</v>
      </c>
      <c r="L3" s="41" t="n"/>
    </row>
    <row r="4" ht="23.85" customHeight="1" s="29">
      <c r="A4" s="41" t="inlineStr">
        <is>
          <t>Federal AI preemption</t>
        </is>
      </c>
      <c r="B4" s="41" t="inlineStr">
        <is>
          <t>US</t>
        </is>
      </c>
      <c r="C4" s="41" t="inlineStr">
        <is>
          <t>Executive order created DOJ AI Litigation Task Force (Jan 10, 2026) to challenge state AI laws</t>
        </is>
      </c>
      <c r="D4" s="41" t="inlineStr">
        <is>
          <t>Could change state AI insurance rules.</t>
        </is>
      </c>
      <c r="E4" s="41" t="inlineStr">
        <is>
          <t>actuary.info - AI regulation in insurance 2026</t>
        </is>
      </c>
      <c r="F4" s="42" t="inlineStr">
        <is>
          <t>https://actuary.info/insights/ai-regulation-insurance-naic-2026</t>
        </is>
      </c>
      <c r="G4" s="43" t="n">
        <v>46295</v>
      </c>
      <c r="H4" s="41" t="inlineStr">
        <is>
          <t>US</t>
        </is>
      </c>
      <c r="I4" s="41" t="inlineStr">
        <is>
          <t>Reference data (secondary source)</t>
        </is>
      </c>
      <c r="J4" s="45" t="inlineStr">
        <is>
          <t>Secondary - unverified</t>
        </is>
      </c>
      <c r="K4" s="43" t="n">
        <v>46295</v>
      </c>
      <c r="L4" s="41" t="inlineStr">
        <is>
          <t>Situation still evolving.</t>
        </is>
      </c>
    </row>
    <row r="5" ht="23.85" customHeight="1" s="29">
      <c r="A5" s="41" t="inlineStr">
        <is>
          <t>TCPA one-to-one consent rule</t>
        </is>
      </c>
      <c r="B5" s="41" t="inlineStr">
        <is>
          <t>US (federal)</t>
        </is>
      </c>
      <c r="C5" s="41" t="inlineStr">
        <is>
          <t>Vacated by 11th Circuit on Jan 24, 2025</t>
        </is>
      </c>
      <c r="D5" s="41" t="inlineStr">
        <is>
          <t>State 'mini-TCPA' laws (FL, OK, WA, TX) still apply; many lead buyers still require seller-specific consent.</t>
        </is>
      </c>
      <c r="E5" s="41" t="inlineStr">
        <is>
          <t>Lead Distro AI - One-to-one consent 2026</t>
        </is>
      </c>
      <c r="F5" s="42" t="inlineStr">
        <is>
          <t>https://www.leaddistro.ai/blog/one-to-one-consent</t>
        </is>
      </c>
      <c r="G5" s="43" t="n">
        <v>46295</v>
      </c>
      <c r="H5" s="41" t="inlineStr">
        <is>
          <t>US</t>
        </is>
      </c>
      <c r="I5" s="41" t="inlineStr">
        <is>
          <t>Reference data (secondary source)</t>
        </is>
      </c>
      <c r="J5" s="45" t="inlineStr">
        <is>
          <t>Secondary - unverified</t>
        </is>
      </c>
      <c r="K5" s="43" t="n">
        <v>46295</v>
      </c>
      <c r="L5" s="41" t="inlineStr">
        <is>
          <t>Build to one-to-one anyway; get counsel.</t>
        </is>
      </c>
    </row>
    <row r="6" ht="23.85" customHeight="1" s="29">
      <c r="A6" s="41" t="inlineStr">
        <is>
          <t>TCPA penalties</t>
        </is>
      </c>
      <c r="B6" s="41" t="inlineStr">
        <is>
          <t>US (federal)</t>
        </is>
      </c>
      <c r="C6" s="41" t="inlineStr">
        <is>
          <t>$500-$1,500 per call reported</t>
        </is>
      </c>
      <c r="D6" s="41" t="inlineStr">
        <is>
          <t>-</t>
        </is>
      </c>
      <c r="E6" s="41" t="inlineStr">
        <is>
          <t>InsureLeads - TCPA/one-to-one status 2026</t>
        </is>
      </c>
      <c r="F6" s="42" t="inlineStr">
        <is>
          <t>https://www.getinsureleads.com/blog/fcc-one-to-one-consent-rule-status-update-2026</t>
        </is>
      </c>
      <c r="G6" s="43" t="n">
        <v>46295</v>
      </c>
      <c r="H6" s="41" t="inlineStr">
        <is>
          <t>US</t>
        </is>
      </c>
      <c r="I6" s="41" t="inlineStr">
        <is>
          <t>Estimate</t>
        </is>
      </c>
      <c r="J6" s="45" t="inlineStr">
        <is>
          <t>Secondary - unverified</t>
        </is>
      </c>
      <c r="K6" s="43" t="n">
        <v>46295</v>
      </c>
      <c r="L6" s="41" t="inlineStr">
        <is>
          <t>Lead-gen vendor source.</t>
        </is>
      </c>
    </row>
    <row r="7" ht="23.85" customHeight="1" s="29">
      <c r="A7" s="41" t="inlineStr">
        <is>
          <t>NFIP authorization</t>
        </is>
      </c>
      <c r="B7" s="41" t="inlineStr">
        <is>
          <t>US (federal)</t>
        </is>
      </c>
      <c r="C7" s="41" t="inlineStr">
        <is>
          <t>Authorized through Dec 11, 2026 (extended from Sept 30, 2026)</t>
        </is>
      </c>
      <c r="D7" s="41" t="inlineStr">
        <is>
          <t>Next lapse risk is Dec 12, 2026 unless Congress acts.</t>
        </is>
      </c>
      <c r="E7" s="41" t="inlineStr">
        <is>
          <t>CRS Insight - What Happens If the NFIP Lapses?</t>
        </is>
      </c>
      <c r="F7" s="42" t="inlineStr">
        <is>
          <t>https://www.congress.gov/crs-product/IN10835</t>
        </is>
      </c>
      <c r="G7" s="43" t="n">
        <v>46295</v>
      </c>
      <c r="H7" s="41" t="inlineStr">
        <is>
          <t>US</t>
        </is>
      </c>
      <c r="I7" s="41" t="inlineStr">
        <is>
          <t>Regulator-published</t>
        </is>
      </c>
      <c r="J7" s="44" t="inlineStr">
        <is>
          <t>Primary source</t>
        </is>
      </c>
      <c r="K7" s="43" t="n">
        <v>46295</v>
      </c>
      <c r="L7" s="41" t="inlineStr">
        <is>
          <t>CRS Insight and NAHB agree.</t>
        </is>
      </c>
    </row>
    <row r="8" ht="46.25" customHeight="1" s="29">
      <c r="A8" s="41" t="inlineStr">
        <is>
          <t>California Sustainable Insurance Strategy</t>
        </is>
      </c>
      <c r="B8" s="41" t="inlineStr">
        <is>
          <t>California</t>
        </is>
      </c>
      <c r="C8" s="41" t="inlineStr">
        <is>
          <t>Catastrophe models and reinsurance costs allowed in rates if insurers commit to write 85% of statewide market share in wildfire-distressed areas; FAIR Plan 29.1% average increase approved effective Oct 15, 2026 (news reports)</t>
        </is>
      </c>
      <c r="D8" s="41" t="inlineStr">
        <is>
          <t>Availability drives whether a home comparison can show any quotes; FAIR Plan plus a DIC policy is a common outcome.</t>
        </is>
      </c>
      <c r="E8" s="41" t="inlineStr">
        <is>
          <t>CA Dept of Insurance - Sustainable Insurance Strategy updates</t>
        </is>
      </c>
      <c r="F8" s="42" t="inlineStr">
        <is>
          <t>https://www.insurance.ca.gov/01-consumers/180-climate-change/SustainableInsuranceStrategy.cfm</t>
        </is>
      </c>
      <c r="G8" s="43" t="n">
        <v>46295</v>
      </c>
      <c r="H8" s="41" t="inlineStr">
        <is>
          <t>California</t>
        </is>
      </c>
      <c r="I8" s="41" t="inlineStr">
        <is>
          <t>Regulator-published</t>
        </is>
      </c>
      <c r="J8" s="45" t="inlineStr">
        <is>
          <t>Secondary - unverified</t>
        </is>
      </c>
      <c r="K8" s="43" t="n">
        <v>46295</v>
      </c>
      <c r="L8" s="41" t="inlineStr">
        <is>
          <t>Regulator source for the strategy; FAIR Plan decision is from news reports.</t>
        </is>
      </c>
    </row>
    <row r="9" ht="23.85" customHeight="1" s="29">
      <c r="A9" s="41" t="inlineStr">
        <is>
          <t>California 2026 home insurance laws</t>
        </is>
      </c>
      <c r="B9" s="41" t="inlineStr">
        <is>
          <t>California</t>
        </is>
      </c>
      <c r="C9" s="41" t="inlineStr">
        <is>
          <t>AB 1, AB 226, AB 888, SB 429, SB 495, SB 547 effective Jan 1, 2026</t>
        </is>
      </c>
      <c r="D9" s="41" t="inlineStr">
        <is>
          <t>Changes discounts review, FAIR Plan financing, wildfire claims payouts and non-renewal protections.</t>
        </is>
      </c>
      <c r="E9" s="41" t="inlineStr">
        <is>
          <t>CDI press release - New laws take effect January 1, 2026 (Dec 30, 2025)</t>
        </is>
      </c>
      <c r="F9" s="42" t="inlineStr">
        <is>
          <t>https://www.insurance.ca.gov/0400-news/0100-press-releases/2025/release079-2025.cfm</t>
        </is>
      </c>
      <c r="G9" s="43" t="n">
        <v>46295</v>
      </c>
      <c r="H9" s="41" t="inlineStr">
        <is>
          <t>California</t>
        </is>
      </c>
      <c r="I9" s="41" t="inlineStr">
        <is>
          <t>Regulator-published</t>
        </is>
      </c>
      <c r="J9" s="44" t="inlineStr">
        <is>
          <t>Primary source</t>
        </is>
      </c>
      <c r="K9" s="43" t="n">
        <v>46295</v>
      </c>
      <c r="L9" s="41" t="inlineStr">
        <is>
          <t>From CDI press release.</t>
        </is>
      </c>
    </row>
    <row r="10" ht="35.05" customHeight="1" s="29">
      <c r="A10" s="41" t="inlineStr">
        <is>
          <t>Florida PIP repeal attempts</t>
        </is>
      </c>
      <c r="B10" s="41" t="inlineStr">
        <is>
          <t>Florida</t>
        </is>
      </c>
      <c r="C10" s="41" t="inlineStr">
        <is>
          <t>SB 522 and HB 769 died in committee on Mar 13, 2026; PIP remains required; next regular session convenes Mar 2, 2027 (per law firms)</t>
        </is>
      </c>
      <c r="D10" s="41" t="inlineStr">
        <is>
          <t>A repeal would replace PIP with mandatory bodily injury liability (proposed 25/50); would change minimums and comparison logic.</t>
        </is>
      </c>
      <c r="E10" s="41" t="inlineStr">
        <is>
          <t>Viles &amp; Beckman - Did Florida repeal no-fault? (Jul 2026)</t>
        </is>
      </c>
      <c r="F10" s="42" t="inlineStr">
        <is>
          <t>https://www.vilesandbeckman.com/blog/did-florida-repeal-no-fault-insurance-the-pip-myths-and-the-facts-for-2026/</t>
        </is>
      </c>
      <c r="G10" s="43" t="n">
        <v>46295</v>
      </c>
      <c r="H10" s="41" t="inlineStr">
        <is>
          <t>Florida</t>
        </is>
      </c>
      <c r="I10" s="41" t="inlineStr">
        <is>
          <t>Reference data (secondary source)</t>
        </is>
      </c>
      <c r="J10" s="45" t="inlineStr">
        <is>
          <t>Secondary - unverified</t>
        </is>
      </c>
      <c r="K10" s="43" t="n">
        <v>46295</v>
      </c>
      <c r="L10" s="41" t="inlineStr">
        <is>
          <t>Verify bill status on flsenate.gov.</t>
        </is>
      </c>
    </row>
    <row r="11" ht="23.85" customHeight="1" s="29">
      <c r="A11" s="41" t="inlineStr">
        <is>
          <t>Texas nonrenewal notice period</t>
        </is>
      </c>
      <c r="B11" s="41" t="inlineStr">
        <is>
          <t>Texas</t>
        </is>
      </c>
      <c r="C11" s="41" t="inlineStr">
        <is>
          <t>60 days' notice if policy bought or renewed in 2024; 30 days for 2023 or earlier (TDI wording)</t>
        </is>
      </c>
      <c r="D11" s="41" t="inlineStr">
        <is>
          <t>Check whether the 60-day rule applies to all later policies.</t>
        </is>
      </c>
      <c r="E11" s="41" t="inlineStr">
        <is>
          <t>Texas Dept of Insurance - Auto insurance guide (CB020)</t>
        </is>
      </c>
      <c r="F11" s="42" t="inlineStr">
        <is>
          <t>https://www.tdi.texas.gov/pubs/consumer/cb020.html</t>
        </is>
      </c>
      <c r="G11" s="43" t="n">
        <v>46295</v>
      </c>
      <c r="H11" s="41" t="inlineStr">
        <is>
          <t>Texas</t>
        </is>
      </c>
      <c r="I11" s="41" t="inlineStr">
        <is>
          <t>Regulator-published</t>
        </is>
      </c>
      <c r="J11" s="44" t="inlineStr">
        <is>
          <t>Primary source</t>
        </is>
      </c>
      <c r="K11" s="43" t="n">
        <v>46295</v>
      </c>
      <c r="L11" s="41" t="inlineStr">
        <is>
          <t>TDI page wording is date-specific; ask TDI.</t>
        </is>
      </c>
    </row>
    <row r="12" ht="23.85" customHeight="1" s="29">
      <c r="A12" s="41" t="inlineStr">
        <is>
          <t>Citizens flood requirement expands</t>
        </is>
      </c>
      <c r="B12" s="41" t="inlineStr">
        <is>
          <t>Florida</t>
        </is>
      </c>
      <c r="C12" s="41" t="inlineStr">
        <is>
          <t>All remaining Citizens wind policies must carry flood coverage from Jan 1, 2027 (per secondary sources)</t>
        </is>
      </c>
      <c r="D12" s="41" t="inlineStr">
        <is>
          <t>Affects Florida home comparisons: flood coverage becomes a condition of keeping the state-backed policy.</t>
        </is>
      </c>
      <c r="E12" s="41" t="inlineStr">
        <is>
          <t>Coverage Classroom - Citizens flood requirement phase-in</t>
        </is>
      </c>
      <c r="F12" s="42" t="inlineStr">
        <is>
          <t>https://coverageclassroom.com/learn/citizens-flood-insurance-requirement</t>
        </is>
      </c>
      <c r="G12" s="43" t="n">
        <v>46295</v>
      </c>
      <c r="H12" s="41" t="inlineStr">
        <is>
          <t>Florida</t>
        </is>
      </c>
      <c r="I12" s="41" t="inlineStr">
        <is>
          <t>Reference data (secondary source)</t>
        </is>
      </c>
      <c r="J12" s="45" t="inlineStr">
        <is>
          <t>Secondary - unverified</t>
        </is>
      </c>
      <c r="K12" s="43" t="n">
        <v>46295</v>
      </c>
      <c r="L12" s="41" t="inlineStr">
        <is>
          <t>Confirm on Citizens' site.</t>
        </is>
      </c>
    </row>
    <row r="13" ht="23.85" customHeight="1" s="29">
      <c r="A13" s="41" t="inlineStr">
        <is>
          <t>Telematics privacy bills</t>
        </is>
      </c>
      <c r="B13" s="41" t="inlineStr">
        <is>
          <t>5 states (incl. MD SB 984, NC)</t>
        </is>
      </c>
      <c r="C13" s="41" t="inlineStr">
        <is>
          <t>Introduced in 2025-2026 sessions</t>
        </is>
      </c>
      <c r="D13" s="41" t="inlineStr">
        <is>
          <t>Distinguishes opt-in programs from connected-car data sharing.</t>
        </is>
      </c>
      <c r="E13" s="41" t="inlineStr">
        <is>
          <t>InsureMojo - Telematics privacy bills 2026</t>
        </is>
      </c>
      <c r="F13" s="42" t="inlineStr">
        <is>
          <t>https://www.insuremojo.com/telematics-insurance-data-privacy-bills-2026/</t>
        </is>
      </c>
      <c r="G13" s="43" t="n">
        <v>46295</v>
      </c>
      <c r="H13" s="41" t="inlineStr">
        <is>
          <t>Multi-state</t>
        </is>
      </c>
      <c r="I13" s="41" t="inlineStr">
        <is>
          <t>Reference data (secondary source)</t>
        </is>
      </c>
      <c r="J13" s="45" t="inlineStr">
        <is>
          <t>Secondary - unverified</t>
        </is>
      </c>
      <c r="K13" s="43" t="n">
        <v>46295</v>
      </c>
      <c r="L13" s="41" t="inlineStr">
        <is>
          <t>Track bill status individually.</t>
        </is>
      </c>
    </row>
    <row r="14" ht="23.85" customHeight="1" s="29">
      <c r="A14" s="41" t="inlineStr">
        <is>
          <t>Minimum liability limit increases</t>
        </is>
      </c>
      <c r="B14" s="41" t="inlineStr">
        <is>
          <t>CA, NC, UT, VA (2025); NJ (2026)</t>
        </is>
      </c>
      <c r="C14" s="41" t="inlineStr">
        <is>
          <t>See State Min Limits tab</t>
        </is>
      </c>
      <c r="D14" s="41" t="inlineStr">
        <is>
          <t>Limits change; keep versioned with effective dates.</t>
        </is>
      </c>
      <c r="E14" s="41" t="inlineStr">
        <is>
          <t>CarInsurance.com - Minimum liability by state (Apr 2026)</t>
        </is>
      </c>
      <c r="F14" s="42" t="inlineStr">
        <is>
          <t>https://www.carinsurance.com/Articles/minimum-liability-car-insurance-requirements-by-state.aspx</t>
        </is>
      </c>
      <c r="G14" s="43" t="n">
        <v>46295</v>
      </c>
      <c r="H14" s="41" t="inlineStr">
        <is>
          <t>Multi-state</t>
        </is>
      </c>
      <c r="I14" s="41" t="inlineStr">
        <is>
          <t>Reference data (secondary source)</t>
        </is>
      </c>
      <c r="J14" s="45" t="inlineStr">
        <is>
          <t>Secondary - unverified</t>
        </is>
      </c>
      <c r="K14" s="43" t="n">
        <v>46295</v>
      </c>
      <c r="L14" s="41" t="inlineStr">
        <is>
          <t>Virginia and NJ conflict; see Conflicts Log.</t>
        </is>
      </c>
    </row>
    <row r="15" ht="23.85" customHeight="1" s="29">
      <c r="A15" s="41" t="inlineStr">
        <is>
          <t>Washington credit ban</t>
        </is>
      </c>
      <c r="B15" s="41" t="inlineStr">
        <is>
          <t>Washington</t>
        </is>
      </c>
      <c r="C15" s="41" t="inlineStr">
        <is>
          <t>Court struck down three-year ban in 2021</t>
        </is>
      </c>
      <c r="D15" s="41" t="inlineStr">
        <is>
          <t>-</t>
        </is>
      </c>
      <c r="E15" s="41" t="inlineStr">
        <is>
          <t>MoneyGeek - Insurers that don't check credit</t>
        </is>
      </c>
      <c r="F15" s="42" t="inlineStr">
        <is>
          <t>https://www.moneygeek.com/insurance/auto/which-insurance-companies-dont-check-credit-score/</t>
        </is>
      </c>
      <c r="G15" s="43" t="n">
        <v>46295</v>
      </c>
      <c r="H15" s="41" t="inlineStr">
        <is>
          <t>Washington</t>
        </is>
      </c>
      <c r="I15" s="41" t="inlineStr">
        <is>
          <t>Reference data (secondary source)</t>
        </is>
      </c>
      <c r="J15" s="45" t="inlineStr">
        <is>
          <t>Secondary - unverified</t>
        </is>
      </c>
      <c r="K15" s="43" t="n">
        <v>46295</v>
      </c>
      <c r="L15" s="41" t="n"/>
    </row>
  </sheetData>
  <autoFilter ref="A1:L15"/>
  <dataValidations count="1">
    <dataValidation sqref="J2:J500" showDropDown="0" showInputMessage="0" showErrorMessage="0" allowBlank="1" type="list" errorStyle="stop" operator="between">
      <formula1>"Primary source,Secondary - unverified,Conflicting,Not researched"</formula1>
      <formula2>0</formula2>
    </dataValidation>
  </dataValidations>
  <hyperlinks>
    <hyperlink xmlns:r="http://schemas.openxmlformats.org/officeDocument/2006/relationships" ref="F2" display="https://techsavvyinsurance.com/answers/which-states-adopted-naic-ai-model-bulletin/" r:id="rId1"/>
    <hyperlink xmlns:r="http://schemas.openxmlformats.org/officeDocument/2006/relationships" ref="F3" display="https://www.meilynx.com/reference/naic-ai-model-bulletin" r:id="rId2"/>
    <hyperlink xmlns:r="http://schemas.openxmlformats.org/officeDocument/2006/relationships" ref="F4" display="https://actuary.info/insights/ai-regulation-insurance-naic-2026" r:id="rId3"/>
    <hyperlink xmlns:r="http://schemas.openxmlformats.org/officeDocument/2006/relationships" ref="F5" display="https://www.leaddistro.ai/blog/one-to-one-consent" r:id="rId4"/>
    <hyperlink xmlns:r="http://schemas.openxmlformats.org/officeDocument/2006/relationships" ref="F6" display="https://www.getinsureleads.com/blog/fcc-one-to-one-consent-rule-status-update-2026" r:id="rId5"/>
    <hyperlink xmlns:r="http://schemas.openxmlformats.org/officeDocument/2006/relationships" ref="F7" display="https://www.congress.gov/crs-product/IN10835" r:id="rId6"/>
    <hyperlink xmlns:r="http://schemas.openxmlformats.org/officeDocument/2006/relationships" ref="F8" display="https://www.insurance.ca.gov/01-consumers/180-climate-change/SustainableInsuranceStrategy.cfm" r:id="rId7"/>
    <hyperlink xmlns:r="http://schemas.openxmlformats.org/officeDocument/2006/relationships" ref="F9" display="https://www.insurance.ca.gov/0400-news/0100-press-releases/2025/release079-2025.cfm" r:id="rId8"/>
    <hyperlink xmlns:r="http://schemas.openxmlformats.org/officeDocument/2006/relationships" ref="F10" display="https://www.vilesandbeckman.com/blog/did-florida-repeal-no-fault-insurance-the-pip-myths-and-the-facts-for-2026/" r:id="rId9"/>
    <hyperlink xmlns:r="http://schemas.openxmlformats.org/officeDocument/2006/relationships" ref="F11" display="https://www.tdi.texas.gov/pubs/consumer/cb020.html" r:id="rId10"/>
    <hyperlink xmlns:r="http://schemas.openxmlformats.org/officeDocument/2006/relationships" ref="F12" display="https://coverageclassroom.com/learn/citizens-flood-insurance-requirement" r:id="rId11"/>
    <hyperlink xmlns:r="http://schemas.openxmlformats.org/officeDocument/2006/relationships" ref="F13" display="https://www.insuremojo.com/telematics-insurance-data-privacy-bills-2026/" r:id="rId12"/>
    <hyperlink xmlns:r="http://schemas.openxmlformats.org/officeDocument/2006/relationships" ref="F14" display="https://www.carinsurance.com/Articles/minimum-liability-car-insurance-requirements-by-state.aspx" r:id="rId13"/>
    <hyperlink xmlns:r="http://schemas.openxmlformats.org/officeDocument/2006/relationships" ref="F15" display="https://www.moneygeek.com/insurance/auto/which-insurance-companies-dont-check-credit-score/" r:id="rId1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28" min="1" max="1"/>
    <col width="44" customWidth="1" style="28" min="2" max="3"/>
    <col width="24" customWidth="1" style="28" min="4" max="4"/>
    <col width="52" customWidth="1" style="28" min="5" max="5"/>
    <col width="40" customWidth="1" style="28" min="6" max="6"/>
    <col width="20" customWidth="1" style="28" min="7" max="7"/>
    <col width="44" customWidth="1" style="28" min="8" max="8"/>
  </cols>
  <sheetData>
    <row r="1" ht="31.5" customHeight="1" s="29">
      <c r="A1" s="40" t="inlineStr">
        <is>
          <t>Option</t>
        </is>
      </c>
      <c r="B1" s="40" t="inlineStr">
        <is>
          <t>What it is</t>
        </is>
      </c>
      <c r="C1" s="40" t="inlineStr">
        <is>
          <t>Licensing / legal implication</t>
        </is>
      </c>
      <c r="D1" s="40" t="inlineStr">
        <is>
          <t>Data type you can show</t>
        </is>
      </c>
      <c r="E1" s="40" t="inlineStr">
        <is>
          <t>Evidence found</t>
        </is>
      </c>
      <c r="F1" s="40" t="inlineStr">
        <is>
          <t>Source URL</t>
        </is>
      </c>
      <c r="G1" s="40" t="inlineStr">
        <is>
          <t>Verification Status</t>
        </is>
      </c>
      <c r="H1" s="40" t="inlineStr">
        <is>
          <t>Open questions</t>
        </is>
      </c>
    </row>
    <row r="2" ht="35.05" customHeight="1" s="29">
      <c r="A2" s="41" t="inlineStr">
        <is>
          <t>A. Become a licensed agency and integrate carriers directly</t>
        </is>
      </c>
      <c r="B2" s="41" t="inlineStr">
        <is>
          <t>Operate like The Zebra / Insurify: hold producer licenses, connect to carriers, show real-time quotes</t>
        </is>
      </c>
      <c r="C2" s="41" t="inlineStr">
        <is>
          <t>Agents and brokers must be state licensed (CDI). Needs licenses in each state, plus E&amp;O insurance (my note)</t>
        </is>
      </c>
      <c r="D2" s="41" t="inlineStr">
        <is>
          <t>Actual carrier quotes</t>
        </is>
      </c>
      <c r="E2" s="41" t="inlineStr">
        <is>
          <t>The Zebra says it has in-house licensed agents and direct carrier partnerships; Insurify says it integrates with 120+ carriers and has an in-house agency</t>
        </is>
      </c>
      <c r="F2" s="42" t="inlineStr">
        <is>
          <t>https://www.thezebra.com/</t>
        </is>
      </c>
      <c r="G2" s="45" t="inlineStr">
        <is>
          <t>Secondary - unverified</t>
        </is>
      </c>
      <c r="H2" s="41" t="inlineStr">
        <is>
          <t>Which states first? Carrier onboarding requirements and timelines?</t>
        </is>
      </c>
    </row>
    <row r="3" ht="23.85" customHeight="1" s="29">
      <c r="A3" s="41" t="inlineStr">
        <is>
          <t>B. Partner with an existing licensed marketplace</t>
        </is>
      </c>
      <c r="B3" s="41" t="inlineStr">
        <is>
          <t>Send users to a licensed partner that returns real quotes; earn a referral fee</t>
        </is>
      </c>
      <c r="C3" s="41" t="inlineStr">
        <is>
          <t>Depends on the partner's license and your referral flow; needs counsel</t>
        </is>
      </c>
      <c r="D3" s="41" t="inlineStr">
        <is>
          <t>Partner-provided quotes</t>
        </is>
      </c>
      <c r="E3" s="41" t="inlineStr">
        <is>
          <t>Insurify says it earns a commission on purchases; The Zebra says it earns money from carriers</t>
        </is>
      </c>
      <c r="F3" s="42" t="inlineStr">
        <is>
          <t>https://insurify.com/car-insurance/</t>
        </is>
      </c>
      <c r="G3" s="45" t="inlineStr">
        <is>
          <t>Secondary - unverified</t>
        </is>
      </c>
      <c r="H3" s="41" t="inlineStr">
        <is>
          <t>Do partners offer white-label or API access to a new site? Not found publicly.</t>
        </is>
      </c>
    </row>
    <row r="4" ht="23.85" customHeight="1" s="29">
      <c r="A4" s="41" t="inlineStr">
        <is>
          <t>C. Lead-generation model</t>
        </is>
      </c>
      <c r="B4" s="41" t="inlineStr">
        <is>
          <t>Collect user details and hand them to agents or carriers; no live quotes</t>
        </is>
      </c>
      <c r="C4" s="41" t="inlineStr">
        <is>
          <t>Consent rules (TCPA, state laws); possible producer licensing questions</t>
        </is>
      </c>
      <c r="D4" s="41" t="inlineStr">
        <is>
          <t>No quotes; only referrals</t>
        </is>
      </c>
      <c r="E4" s="41" t="inlineStr">
        <is>
          <t>Compare.com describes EverQuote as lead-gen without real-time quotes</t>
        </is>
      </c>
      <c r="F4" s="42" t="inlineStr">
        <is>
          <t>https://www.compare.com/auto-insurance/compare-insurance-companies/best-car-insurance-comparison-sites</t>
        </is>
      </c>
      <c r="G4" s="45" t="inlineStr">
        <is>
          <t>Secondary - unverified</t>
        </is>
      </c>
      <c r="H4" s="41" t="inlineStr">
        <is>
          <t>Consent language; which states treat this as solicitation?</t>
        </is>
      </c>
    </row>
    <row r="5" ht="35.05" customHeight="1" s="29">
      <c r="A5" s="41" t="inlineStr">
        <is>
          <t>D. Buy rate-filing data for estimates</t>
        </is>
      </c>
      <c r="B5" s="41" t="inlineStr">
        <is>
          <t>License ZIP-level rate filing data to show estimated ranges</t>
        </is>
      </c>
      <c r="C5" s="41" t="inlineStr">
        <is>
          <t>Data license terms; must label as Estimate, never as quote</t>
        </is>
      </c>
      <c r="D5" s="41" t="inlineStr">
        <is>
          <t>Estimates only</t>
        </is>
      </c>
      <c r="E5" s="41" t="inlineStr">
        <is>
          <t>The Zebra says its rating tool uses ZIP-level filings from Quadrant Information Services and S&amp;P Global; Insurify also cites Quadrant</t>
        </is>
      </c>
      <c r="F5" s="42" t="inlineStr">
        <is>
          <t>https://www.thezebra.com/auto-insurance/</t>
        </is>
      </c>
      <c r="G5" s="45" t="inlineStr">
        <is>
          <t>Secondary - unverified</t>
        </is>
      </c>
      <c r="H5" s="41" t="inlineStr">
        <is>
          <t>Pricing and public-display rights for this data not found.</t>
        </is>
      </c>
    </row>
    <row r="6" ht="23.85" customHeight="1" s="29">
      <c r="A6" s="41" t="inlineStr">
        <is>
          <t>E. Education and tools only (recommended first)</t>
        </is>
      </c>
      <c r="B6" s="41" t="inlineStr">
        <is>
          <t>No quotes; explainers, calculators, checklists, questions to ask insurers</t>
        </is>
      </c>
      <c r="C6" s="41" t="inlineStr">
        <is>
          <t>Lowest licensing exposure, but still needs disclaimers and privacy compliance; confirm with counsel</t>
        </is>
      </c>
      <c r="D6" s="41" t="inlineStr">
        <is>
          <t>Educational content and user-entered numbers</t>
        </is>
      </c>
      <c r="E6" s="41" t="inlineStr">
        <is>
          <t>Consistent with CDI's own guide, which tells consumers to obtain written quotes from insurers</t>
        </is>
      </c>
      <c r="F6" s="42" t="inlineStr">
        <is>
          <t>https://www.insurance.ca.gov/01-consumers/105-type/95-guides/01-auto/auto101.cfm</t>
        </is>
      </c>
      <c r="G6" s="44" t="inlineStr">
        <is>
          <t>Primary source</t>
        </is>
      </c>
      <c r="H6" s="41" t="inlineStr">
        <is>
          <t>None blocking.</t>
        </is>
      </c>
    </row>
    <row r="8" ht="15" customHeight="1" s="29">
      <c r="A8" s="53" t="inlineStr">
        <is>
          <t>I found no publicly documented, self-serve quote API for a new entrant. These integrations appear to be negotiated business partnerships (my inference).</t>
        </is>
      </c>
    </row>
  </sheetData>
  <hyperlinks>
    <hyperlink xmlns:r="http://schemas.openxmlformats.org/officeDocument/2006/relationships" ref="F2" display="https://www.thezebra.com/" r:id="rId1"/>
    <hyperlink xmlns:r="http://schemas.openxmlformats.org/officeDocument/2006/relationships" ref="F3" display="https://insurify.com/car-insurance/" r:id="rId2"/>
    <hyperlink xmlns:r="http://schemas.openxmlformats.org/officeDocument/2006/relationships" ref="F4" display="https://www.compare.com/auto-insurance/compare-insurance-companies/best-car-insurance-comparison-sites" r:id="rId3"/>
    <hyperlink xmlns:r="http://schemas.openxmlformats.org/officeDocument/2006/relationships" ref="F5" display="https://www.thezebra.com/auto-insurance/" r:id="rId4"/>
    <hyperlink xmlns:r="http://schemas.openxmlformats.org/officeDocument/2006/relationships" ref="F6" display="https://www.insurance.ca.gov/01-consumers/105-type/95-guides/01-auto/auto101.cfm" r:id="rId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8" min="1" max="1"/>
    <col width="18" customWidth="1" style="28" min="2" max="2"/>
    <col width="60" customWidth="1" style="28" min="3" max="3"/>
    <col width="55" customWidth="1" style="28" min="4" max="4"/>
    <col width="10" customWidth="1" style="28" min="5" max="5"/>
    <col width="12" customWidth="1" style="28" min="6" max="6"/>
  </cols>
  <sheetData>
    <row r="1" ht="31.5" customHeight="1" s="29">
      <c r="A1" s="40" t="inlineStr">
        <is>
          <t>#</t>
        </is>
      </c>
      <c r="B1" s="40" t="inlineStr">
        <is>
          <t>Topic</t>
        </is>
      </c>
      <c r="C1" s="40" t="inlineStr">
        <is>
          <t>Question for insurance-regulatory counsel</t>
        </is>
      </c>
      <c r="D1" s="40" t="inlineStr">
        <is>
          <t>Why it matters (from the research)</t>
        </is>
      </c>
      <c r="E1" s="40" t="inlineStr">
        <is>
          <t>Priority</t>
        </is>
      </c>
      <c r="F1" s="40" t="inlineStr">
        <is>
          <t>Status</t>
        </is>
      </c>
    </row>
    <row r="2" ht="23.85" customHeight="1" s="29">
      <c r="A2" s="41" t="n">
        <v>1</v>
      </c>
      <c r="B2" s="41" t="inlineStr">
        <is>
          <t>Licensing</t>
        </is>
      </c>
      <c r="C2" s="41" t="inlineStr">
        <is>
          <t>Does an education-and-calculator site that collects no contact details need any license in California or other states?</t>
        </is>
      </c>
      <c r="D2" s="41" t="inlineStr">
        <is>
          <t>Agents and brokers must be licensed (CDI); the line between education and solicitation varies by state</t>
        </is>
      </c>
      <c r="E2" s="41" t="inlineStr">
        <is>
          <t>High</t>
        </is>
      </c>
      <c r="F2" s="41" t="inlineStr">
        <is>
          <t>Open</t>
        </is>
      </c>
    </row>
    <row r="3" ht="23.85" customHeight="1" s="29">
      <c r="A3" s="41" t="n">
        <v>2</v>
      </c>
      <c r="B3" s="41" t="inlineStr">
        <is>
          <t>Licensing</t>
        </is>
      </c>
      <c r="C3" s="41" t="inlineStr">
        <is>
          <t>If we later refer users to carriers or agents, what licenses are needed and may we receive referral fees?</t>
        </is>
      </c>
      <c r="D3" s="41" t="inlineStr">
        <is>
          <t>Referral or lead-gen revenue is the main planned business model</t>
        </is>
      </c>
      <c r="E3" s="41" t="inlineStr">
        <is>
          <t>High</t>
        </is>
      </c>
      <c r="F3" s="41" t="inlineStr">
        <is>
          <t>Open</t>
        </is>
      </c>
    </row>
    <row r="4" ht="23.85" customHeight="1" s="29">
      <c r="A4" s="41" t="n">
        <v>3</v>
      </c>
      <c r="B4" s="41" t="inlineStr">
        <is>
          <t>Advertising</t>
        </is>
      </c>
      <c r="C4" s="41" t="inlineStr">
        <is>
          <t>What rules govern comparison claims, 'estimate' labels and any 'lower displayed premium' wording?</t>
        </is>
      </c>
      <c r="D4" s="41" t="inlineStr">
        <is>
          <t>Spec requires never presenting an estimate as a quote; states regulate insurance advertising</t>
        </is>
      </c>
      <c r="E4" s="41" t="inlineStr">
        <is>
          <t>High</t>
        </is>
      </c>
      <c r="F4" s="41" t="inlineStr">
        <is>
          <t>Open</t>
        </is>
      </c>
    </row>
    <row r="5" ht="23.85" customHeight="1" s="29">
      <c r="A5" s="41" t="n">
        <v>4</v>
      </c>
      <c r="B5" s="41" t="inlineStr">
        <is>
          <t>Consent</t>
        </is>
      </c>
      <c r="C5" s="41" t="inlineStr">
        <is>
          <t>What consent language do we need for phone, text and email contact, given the vacated federal one-to-one rule and state mini-TCPA laws?</t>
        </is>
      </c>
      <c r="D5" s="41" t="inlineStr">
        <is>
          <t>Penalties can run $500-$1,500 per call; state laws (FL, OK, WA, TX) still apply</t>
        </is>
      </c>
      <c r="E5" s="41" t="inlineStr">
        <is>
          <t>High</t>
        </is>
      </c>
      <c r="F5" s="41" t="inlineStr">
        <is>
          <t>Open</t>
        </is>
      </c>
    </row>
    <row r="6" ht="23.85" customHeight="1" s="29">
      <c r="A6" s="41" t="n">
        <v>5</v>
      </c>
      <c r="B6" s="41" t="inlineStr">
        <is>
          <t>Privacy</t>
        </is>
      </c>
      <c r="C6" s="41" t="inlineStr">
        <is>
          <t>What CCPA/CPRA and other state privacy duties apply to VINs, driver data, and uploaded policy documents? Retention and breach obligations?</t>
        </is>
      </c>
      <c r="D6" s="41" t="inlineStr">
        <is>
          <t>Site will hold sensitive personal and financial data</t>
        </is>
      </c>
      <c r="E6" s="41" t="inlineStr">
        <is>
          <t>High</t>
        </is>
      </c>
      <c r="F6" s="41" t="inlineStr">
        <is>
          <t>Open</t>
        </is>
      </c>
    </row>
    <row r="7" ht="35.05" customHeight="1" s="29">
      <c r="A7" s="41" t="n">
        <v>6</v>
      </c>
      <c r="B7" s="41" t="inlineStr">
        <is>
          <t>AI / advice</t>
        </is>
      </c>
      <c r="C7" s="41" t="inlineStr">
        <is>
          <t>Does the policy-document analyzer or 'coverage gap' output risk being treated as insurance advice? What disclaimers and human-review steps are appropriate?</t>
        </is>
      </c>
      <c r="D7" s="41" t="inlineStr">
        <is>
          <t>No case law found on consumer comparison-site AI; hallucination risks in document extraction</t>
        </is>
      </c>
      <c r="E7" s="41" t="inlineStr">
        <is>
          <t>High</t>
        </is>
      </c>
      <c r="F7" s="41" t="inlineStr">
        <is>
          <t>Open</t>
        </is>
      </c>
    </row>
    <row r="8" ht="23.85" customHeight="1" s="29">
      <c r="A8" s="41" t="n">
        <v>7</v>
      </c>
      <c r="B8" s="41" t="inlineStr">
        <is>
          <t>AI regulation</t>
        </is>
      </c>
      <c r="C8" s="41" t="inlineStr">
        <is>
          <t>Do the NAIC AI bulletin or Colorado Reg 10-1-1 apply to us if we sell tools to carriers or agents?</t>
        </is>
      </c>
      <c r="D8" s="41" t="inlineStr">
        <is>
          <t>Bulletin governs insurers; Colorado rule extends to private passenger auto from Jul 1, 2026</t>
        </is>
      </c>
      <c r="E8" s="41" t="inlineStr">
        <is>
          <t>Medium</t>
        </is>
      </c>
      <c r="F8" s="41" t="inlineStr">
        <is>
          <t>Open</t>
        </is>
      </c>
    </row>
    <row r="9" ht="23.85" customHeight="1" s="29">
      <c r="A9" s="41" t="n">
        <v>8</v>
      </c>
      <c r="B9" s="41" t="inlineStr">
        <is>
          <t>Disclosure</t>
        </is>
      </c>
      <c r="C9" s="41" t="inlineStr">
        <is>
          <t>How must we disclose carrier payments and ensure ordering is not influenced by them?</t>
        </is>
      </c>
      <c r="D9" s="41" t="inlineStr">
        <is>
          <t>Neutral labels and commercial-relationship disclosure are core to the concept</t>
        </is>
      </c>
      <c r="E9" s="41" t="inlineStr">
        <is>
          <t>High</t>
        </is>
      </c>
      <c r="F9" s="41" t="inlineStr">
        <is>
          <t>Open</t>
        </is>
      </c>
    </row>
    <row r="10" ht="23.85" customHeight="1" s="29">
      <c r="A10" s="41" t="n">
        <v>9</v>
      </c>
      <c r="B10" s="41" t="inlineStr">
        <is>
          <t>Third-party data</t>
        </is>
      </c>
      <c r="C10" s="41" t="inlineStr">
        <is>
          <t>May we display NAIC materials and licensed rate-filing data publicly, and on what terms?</t>
        </is>
      </c>
      <c r="D10" s="41" t="inlineStr">
        <is>
          <t>NAIC tool has copyright terms; rate data comes from commercial providers</t>
        </is>
      </c>
      <c r="E10" s="41" t="inlineStr">
        <is>
          <t>Medium</t>
        </is>
      </c>
      <c r="F10" s="41" t="inlineStr">
        <is>
          <t>Open</t>
        </is>
      </c>
    </row>
    <row r="11" ht="23.85" customHeight="1" s="29">
      <c r="A11" s="41" t="n">
        <v>10</v>
      </c>
      <c r="B11" s="41" t="inlineStr">
        <is>
          <t>Telematics content</t>
        </is>
      </c>
      <c r="C11" s="41" t="inlineStr">
        <is>
          <t>Are there restrictions on how we describe telematics programs, especially in California?</t>
        </is>
      </c>
      <c r="D11" s="41" t="inlineStr">
        <is>
          <t>CA regulation limits devices to mileage collection; state privacy bills pending</t>
        </is>
      </c>
      <c r="E11" s="41" t="inlineStr">
        <is>
          <t>Medium</t>
        </is>
      </c>
      <c r="F11" s="41" t="inlineStr">
        <is>
          <t>Open</t>
        </is>
      </c>
    </row>
    <row r="12" ht="35.05" customHeight="1" s="29">
      <c r="A12" s="41" t="n">
        <v>11</v>
      </c>
      <c r="B12" s="41" t="inlineStr">
        <is>
          <t>California rules</t>
        </is>
      </c>
      <c r="C12" s="41" t="inlineStr">
        <is>
          <t>Please confirm our reading of 10 CCR 2632.5 (approved rating factors) and Advisory Notice 2005-02 (no paid-in-full discount; six-month premium equals half of annual).</t>
        </is>
      </c>
      <c r="D12" s="41" t="inlineStr">
        <is>
          <t>We derived 'credit, gender and age not permitted' from the regulation text</t>
        </is>
      </c>
      <c r="E12" s="41" t="inlineStr">
        <is>
          <t>High</t>
        </is>
      </c>
      <c r="F12" s="41" t="inlineStr">
        <is>
          <t>Open</t>
        </is>
      </c>
    </row>
    <row r="13" ht="23.85" customHeight="1" s="29">
      <c r="A13" s="41" t="n">
        <v>12</v>
      </c>
      <c r="B13" s="41" t="inlineStr">
        <is>
          <t>Terms</t>
        </is>
      </c>
      <c r="C13" s="41" t="inlineStr">
        <is>
          <t>Terms of service, limitation of liability, arbitration and E&amp;O insurance for the site?</t>
        </is>
      </c>
      <c r="D13" s="41" t="inlineStr">
        <is>
          <t>Standard protections for a consumer advice product</t>
        </is>
      </c>
      <c r="E13" s="41" t="inlineStr">
        <is>
          <t>Medium</t>
        </is>
      </c>
      <c r="F13" s="41" t="inlineStr">
        <is>
          <t>Open</t>
        </is>
      </c>
    </row>
    <row r="14" ht="15" customHeight="1" s="29">
      <c r="A14" s="41" t="n">
        <v>13</v>
      </c>
      <c r="B14" s="41" t="inlineStr">
        <is>
          <t>Minors</t>
        </is>
      </c>
      <c r="C14" s="41" t="inlineStr">
        <is>
          <t>How do we handle teen-driver inputs and users under 18?</t>
        </is>
      </c>
      <c r="D14" s="41" t="inlineStr">
        <is>
          <t>Spec targets young drivers and families</t>
        </is>
      </c>
      <c r="E14" s="41" t="inlineStr">
        <is>
          <t>Medium</t>
        </is>
      </c>
      <c r="F14" s="41" t="inlineStr">
        <is>
          <t>Open</t>
        </is>
      </c>
    </row>
    <row r="15" ht="23.85" customHeight="1" s="29">
      <c r="A15" s="41" t="n">
        <v>14</v>
      </c>
      <c r="B15" s="41" t="inlineStr">
        <is>
          <t>California home</t>
        </is>
      </c>
      <c r="C15" s="41" t="inlineStr">
        <is>
          <t>How should we present FAIR Plan plus difference-in-conditions coverage without appearing to recommend a product?</t>
        </is>
      </c>
      <c r="D15" s="41" t="inlineStr">
        <is>
          <t>CDI says FAIR Plan is a basic fire policy with no liability; a supplemental policy should be considered</t>
        </is>
      </c>
      <c r="E15" s="41" t="inlineStr">
        <is>
          <t>High</t>
        </is>
      </c>
      <c r="F15" s="41" t="inlineStr">
        <is>
          <t>Open</t>
        </is>
      </c>
    </row>
    <row r="16" ht="23.85" customHeight="1" s="29">
      <c r="A16" s="41" t="n">
        <v>15</v>
      </c>
      <c r="B16" s="41" t="inlineStr">
        <is>
          <t>California home</t>
        </is>
      </c>
      <c r="C16" s="41" t="inlineStr">
        <is>
          <t>What rules apply if we display or compute a replacement-cost estimate for a home?</t>
        </is>
      </c>
      <c r="D16" s="41" t="inlineStr">
        <is>
          <t>CDI guide says an estimate given to an applicant who buys must be provided in writing</t>
        </is>
      </c>
      <c r="E16" s="41" t="inlineStr">
        <is>
          <t>Medium</t>
        </is>
      </c>
      <c r="F16" s="41" t="inlineStr">
        <is>
          <t>Open</t>
        </is>
      </c>
    </row>
    <row r="17" ht="23.85" customHeight="1" s="29">
      <c r="A17" s="41" t="n">
        <v>16</v>
      </c>
      <c r="B17" s="41" t="inlineStr">
        <is>
          <t>California home</t>
        </is>
      </c>
      <c r="C17" s="41" t="inlineStr">
        <is>
          <t>Can we link to or reuse CDI tools (Home Insurance Finder) and describe wildfire risk score appeal rights?</t>
        </is>
      </c>
      <c r="D17" s="41" t="inlineStr">
        <is>
          <t>Regulation gives policyholders disclosure and appeal rights; tool terms unknown</t>
        </is>
      </c>
      <c r="E17" s="41" t="inlineStr">
        <is>
          <t>Low</t>
        </is>
      </c>
      <c r="F17" s="41" t="inlineStr">
        <is>
          <t>Open</t>
        </is>
      </c>
    </row>
    <row r="18" ht="23.85" customHeight="1" s="29">
      <c r="A18" s="41" t="n">
        <v>17</v>
      </c>
      <c r="B18" s="41" t="inlineStr">
        <is>
          <t>California home</t>
        </is>
      </c>
      <c r="C18" s="41" t="inlineStr">
        <is>
          <t>May credit information be used in California homeowners underwriting or rating, and how should we describe this?</t>
        </is>
      </c>
      <c r="D18" s="41" t="inlineStr">
        <is>
          <t>Sources conflict and no explicit statute was found</t>
        </is>
      </c>
      <c r="E18" s="41" t="inlineStr">
        <is>
          <t>High</t>
        </is>
      </c>
      <c r="F18" s="41" t="inlineStr">
        <is>
          <t>Open</t>
        </is>
      </c>
    </row>
    <row r="19" ht="23.85" customHeight="1" s="29">
      <c r="A19" s="41" t="n">
        <v>18</v>
      </c>
      <c r="B19" s="41" t="inlineStr">
        <is>
          <t>Multi-state</t>
        </is>
      </c>
      <c r="C19" s="41" t="inlineStr">
        <is>
          <t>Do Texas, Florida or New York impose rules on how a comparison site describes credit use, discounts, or no-fault/PIP requirements?</t>
        </is>
      </c>
      <c r="D19" s="41" t="inlineStr">
        <is>
          <t>Each state regulates rating disclosure and discounts differently (e.g., NY mandated discounts, FL credit statute, TX rate rules)</t>
        </is>
      </c>
      <c r="E19" s="41" t="inlineStr">
        <is>
          <t>Medium</t>
        </is>
      </c>
      <c r="F19" s="41" t="inlineStr">
        <is>
          <t>Open</t>
        </is>
      </c>
    </row>
    <row r="20" ht="35.05" customHeight="1" s="29">
      <c r="A20" s="41" t="n">
        <v>19</v>
      </c>
      <c r="B20" s="41" t="inlineStr">
        <is>
          <t>Multi-state home</t>
        </is>
      </c>
      <c r="C20" s="41" t="inlineStr">
        <is>
          <t>How should we present state-backed pools (TWIA, Citizens, Texas FAIR Plan) and percentage wind/hurricane deductibles without appearing to recommend a product?</t>
        </is>
      </c>
      <c r="D20" s="41" t="inlineStr">
        <is>
          <t>Availability and deductibles drive real cost; these pools are last-resort or limited-peril</t>
        </is>
      </c>
      <c r="E20" s="41" t="inlineStr">
        <is>
          <t>Medium</t>
        </is>
      </c>
      <c r="F20" s="41" t="inlineStr">
        <is>
          <t>Open</t>
        </is>
      </c>
    </row>
    <row r="21" ht="15" customHeight="1" s="29">
      <c r="A21" s="41" t="n">
        <v>20</v>
      </c>
      <c r="B21" s="41" t="inlineStr">
        <is>
          <t>Accessibility</t>
        </is>
      </c>
      <c r="C21" s="41" t="inlineStr">
        <is>
          <t>What ADA/WCAG obligations apply?</t>
        </is>
      </c>
      <c r="D21" s="41" t="inlineStr">
        <is>
          <t>Spec requires an accessible site</t>
        </is>
      </c>
      <c r="E21" s="41" t="inlineStr">
        <is>
          <t>Low</t>
        </is>
      </c>
      <c r="F21" s="41" t="inlineStr">
        <is>
          <t>Open</t>
        </is>
      </c>
    </row>
    <row r="23" ht="15" customHeight="1" s="29">
      <c r="A23" s="53" t="inlineStr">
        <is>
          <t>This is a list of questions to bring to counsel. It is not legal advice and does not replace a lawyer's review.</t>
        </is>
      </c>
    </row>
  </sheetData>
  <autoFilter ref="A1:F21"/>
  <dataValidations count="1">
    <dataValidation sqref="F2:F200" showDropDown="0" showInputMessage="0" showErrorMessage="0" allowBlank="1" type="list" errorStyle="stop" operator="between">
      <formula1>"Open,In progress,Answered"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4" customWidth="1" style="28" min="1" max="1"/>
    <col width="56" customWidth="1" style="28" min="2" max="2"/>
    <col width="22" customWidth="1" style="28" min="3" max="3"/>
    <col width="14" customWidth="1" style="28" min="4" max="4"/>
    <col width="44" customWidth="1" style="28" min="5" max="5"/>
    <col width="14" customWidth="1" style="28" min="6" max="6"/>
    <col width="16" customWidth="1" style="28" min="7" max="8"/>
  </cols>
  <sheetData>
    <row r="1" ht="31.5" customHeight="1" s="29">
      <c r="A1" s="40" t="inlineStr">
        <is>
          <t>Data Set</t>
        </is>
      </c>
      <c r="B1" s="40" t="inlineStr">
        <is>
          <t>Primary Source to Check</t>
        </is>
      </c>
      <c r="C1" s="40" t="inlineStr">
        <is>
          <t>Owner (assign)</t>
        </is>
      </c>
      <c r="D1" s="40" t="inlineStr">
        <is>
          <t>Review Every (days)</t>
        </is>
      </c>
      <c r="E1" s="40" t="inlineStr">
        <is>
          <t>Trigger Events</t>
        </is>
      </c>
      <c r="F1" s="40" t="inlineStr">
        <is>
          <t>Last Verified</t>
        </is>
      </c>
      <c r="G1" s="40" t="inlineStr">
        <is>
          <t>Next Review Due</t>
        </is>
      </c>
      <c r="H1" s="40" t="inlineStr">
        <is>
          <t>Status</t>
        </is>
      </c>
    </row>
    <row r="2" ht="15" customHeight="1" s="29">
      <c r="A2" s="41" t="inlineStr">
        <is>
          <t>California auto - minimum limits and coverages</t>
        </is>
      </c>
      <c r="B2" s="41" t="inlineStr">
        <is>
          <t>CA DMV and CDI pages; Insurance Code 11580.1</t>
        </is>
      </c>
      <c r="C2" s="54" t="n"/>
      <c r="D2" s="55" t="n">
        <v>90</v>
      </c>
      <c r="E2" s="41" t="inlineStr">
        <is>
          <t>New legislation; Jan 1 effective dates; CDI bulletins</t>
        </is>
      </c>
      <c r="F2" s="56" t="n">
        <v>46295</v>
      </c>
      <c r="G2" s="43">
        <f>IF(F2="","Verify now",F2+D2)</f>
        <v/>
      </c>
      <c r="H2" s="41">
        <f>IF(F2="","Never verified",IF(TODAY()&gt;F2+D2,"Overdue","OK"))</f>
        <v/>
      </c>
    </row>
    <row r="3" ht="23.85" customHeight="1" s="29">
      <c r="A3" s="41" t="inlineStr">
        <is>
          <t>California auto - rating factors and discounts</t>
        </is>
      </c>
      <c r="B3" s="41" t="inlineStr">
        <is>
          <t>10 CCR 2632.5, 2632.12; Ins. Code 1861.02, 11628.3; CDI advisory notices</t>
        </is>
      </c>
      <c r="C3" s="54" t="n"/>
      <c r="D3" s="55" t="n">
        <v>180</v>
      </c>
      <c r="E3" s="41" t="inlineStr">
        <is>
          <t>CDI regulation changes; new advisory notices</t>
        </is>
      </c>
      <c r="F3" s="56" t="n">
        <v>46295</v>
      </c>
      <c r="G3" s="43">
        <f>IF(F3="","Verify now",F3+D3)</f>
        <v/>
      </c>
      <c r="H3" s="41">
        <f>IF(F3="","Never verified",IF(TODAY()&gt;F3+D3,"Overdue","OK"))</f>
        <v/>
      </c>
    </row>
    <row r="4" ht="23.85" customHeight="1" s="29">
      <c r="A4" s="41" t="inlineStr">
        <is>
          <t>California home - coverage rules and consumer rights</t>
        </is>
      </c>
      <c r="B4" s="41" t="inlineStr">
        <is>
          <t>CDI Form 401; CDI earthquake and flood pages; Insurance Code</t>
        </is>
      </c>
      <c r="C4" s="54" t="n"/>
      <c r="D4" s="55" t="n">
        <v>180</v>
      </c>
      <c r="E4" s="41" t="inlineStr">
        <is>
          <t>New CDI guide revision; new legislation (Jan 1 effective dates)</t>
        </is>
      </c>
      <c r="F4" s="56" t="n">
        <v>46295</v>
      </c>
      <c r="G4" s="43">
        <f>IF(F4="","Verify now",F4+D4)</f>
        <v/>
      </c>
      <c r="H4" s="41">
        <f>IF(F4="","Never verified",IF(TODAY()&gt;F4+D4,"Overdue","OK"))</f>
        <v/>
      </c>
    </row>
    <row r="5" ht="23.85" customHeight="1" s="29">
      <c r="A5" s="41" t="inlineStr">
        <is>
          <t>California home - FAIR Plan, SIS, wildfire discounts</t>
        </is>
      </c>
      <c r="B5" s="41" t="inlineStr">
        <is>
          <t>CDI press releases and orders; FAIR Plan site; 10 CCR 2644.9</t>
        </is>
      </c>
      <c r="C5" s="54" t="n"/>
      <c r="D5" s="55" t="n">
        <v>30</v>
      </c>
      <c r="E5" s="41" t="inlineStr">
        <is>
          <t>FAIR Plan rate orders; Safer from Wildfires updates under AB 1; market exits or entries</t>
        </is>
      </c>
      <c r="F5" s="56" t="n">
        <v>46295</v>
      </c>
      <c r="G5" s="43">
        <f>IF(F5="","Verify now",F5+D5)</f>
        <v/>
      </c>
      <c r="H5" s="41">
        <f>IF(F5="","Never verified",IF(TODAY()&gt;F5+D5,"Overdue","OK"))</f>
        <v/>
      </c>
    </row>
    <row r="6" ht="23.85" customHeight="1" s="29">
      <c r="A6" s="41" t="inlineStr">
        <is>
          <t>Texas, Florida, New York - auto rules</t>
        </is>
      </c>
      <c r="B6" s="41" t="inlineStr">
        <is>
          <t>TDI; FLHSMV and Florida Statutes; NY DFS and Insurance Law</t>
        </is>
      </c>
      <c r="C6" s="54" t="n"/>
      <c r="D6" s="55" t="n">
        <v>90</v>
      </c>
      <c r="E6" s="41" t="inlineStr">
        <is>
          <t>Legislative sessions (FL Mar 2027); regulator guide revisions</t>
        </is>
      </c>
      <c r="F6" s="56" t="n">
        <v>46295</v>
      </c>
      <c r="G6" s="43">
        <f>IF(F6="","Verify now",F6+D6)</f>
        <v/>
      </c>
      <c r="H6" s="41">
        <f>IF(F6="","Never verified",IF(TODAY()&gt;F6+D6,"Overdue","OK"))</f>
        <v/>
      </c>
    </row>
    <row r="7" ht="23.85" customHeight="1" s="29">
      <c r="A7" s="41" t="inlineStr">
        <is>
          <t>Texas and Florida home rules</t>
        </is>
      </c>
      <c r="B7" s="41" t="inlineStr">
        <is>
          <t>TDI; TWIA; Florida DFS and OIR; Citizens; Florida Statutes 627.351, 627.701</t>
        </is>
      </c>
      <c r="C7" s="54" t="n"/>
      <c r="D7" s="55" t="n">
        <v>30</v>
      </c>
      <c r="E7" s="41" t="inlineStr">
        <is>
          <t>Citizens flood phase-in; hurricane season; TWIA limit changes</t>
        </is>
      </c>
      <c r="F7" s="56" t="n">
        <v>46295</v>
      </c>
      <c r="G7" s="43">
        <f>IF(F7="","Verify now",F7+D7)</f>
        <v/>
      </c>
      <c r="H7" s="41">
        <f>IF(F7="","Never verified",IF(TODAY()&gt;F7+D7,"Overdue","OK"))</f>
        <v/>
      </c>
    </row>
    <row r="8" ht="15" customHeight="1" s="29">
      <c r="A8" s="41" t="inlineStr">
        <is>
          <t>Other states - minimum liability limits</t>
        </is>
      </c>
      <c r="B8" s="41" t="inlineStr">
        <is>
          <t>Each state DOI / DMV site</t>
        </is>
      </c>
      <c r="C8" s="54" t="n"/>
      <c r="D8" s="55" t="n">
        <v>90</v>
      </c>
      <c r="E8" s="41" t="inlineStr">
        <is>
          <t>Legislative sessions; Jan 1 and Jul 1 effective dates</t>
        </is>
      </c>
      <c r="F8" s="56" t="n"/>
      <c r="G8" s="43">
        <f>IF(F8="","Verify now",F8+D8)</f>
        <v/>
      </c>
      <c r="H8" s="41">
        <f>IF(F8="","Never verified",IF(TODAY()&gt;F8+D8,"Overdue","OK"))</f>
        <v/>
      </c>
    </row>
    <row r="9" ht="15" customHeight="1" s="29">
      <c r="A9" s="41" t="inlineStr">
        <is>
          <t>Rating factor rules by state</t>
        </is>
      </c>
      <c r="B9" s="41" t="inlineStr">
        <is>
          <t>State statutes and DOI pages</t>
        </is>
      </c>
      <c r="C9" s="54" t="n"/>
      <c r="D9" s="55" t="n">
        <v>180</v>
      </c>
      <c r="E9" s="41" t="inlineStr">
        <is>
          <t>New bills on credit, gender or age use</t>
        </is>
      </c>
      <c r="F9" s="56" t="n"/>
      <c r="G9" s="43">
        <f>IF(F9="","Verify now",F9+D9)</f>
        <v/>
      </c>
      <c r="H9" s="41">
        <f>IF(F9="","Never verified",IF(TODAY()&gt;F9+D9,"Overdue","OK"))</f>
        <v/>
      </c>
    </row>
    <row r="10" ht="15" customHeight="1" s="29">
      <c r="A10" s="41" t="inlineStr">
        <is>
          <t>Discount availability by state</t>
        </is>
      </c>
      <c r="B10" s="41" t="inlineStr">
        <is>
          <t>State DOI pages; carrier filings</t>
        </is>
      </c>
      <c r="C10" s="54" t="n"/>
      <c r="D10" s="55" t="n">
        <v>180</v>
      </c>
      <c r="E10" s="41" t="inlineStr">
        <is>
          <t>Carrier filing changes</t>
        </is>
      </c>
      <c r="F10" s="56" t="n"/>
      <c r="G10" s="43">
        <f>IF(F10="","Verify now",F10+D10)</f>
        <v/>
      </c>
      <c r="H10" s="41">
        <f>IF(F10="","Never verified",IF(TODAY()&gt;F10+D10,"Overdue","OK"))</f>
        <v/>
      </c>
    </row>
    <row r="11" ht="15" customHeight="1" s="29">
      <c r="A11" s="41" t="inlineStr">
        <is>
          <t>Telematics programs</t>
        </is>
      </c>
      <c r="B11" s="41" t="inlineStr">
        <is>
          <t>Carrier sites and state filings</t>
        </is>
      </c>
      <c r="C11" s="54" t="n"/>
      <c r="D11" s="55" t="n">
        <v>90</v>
      </c>
      <c r="E11" s="41" t="inlineStr">
        <is>
          <t>New program launches; privacy bills</t>
        </is>
      </c>
      <c r="F11" s="56" t="n"/>
      <c r="G11" s="43">
        <f>IF(F11="","Verify now",F11+D11)</f>
        <v/>
      </c>
      <c r="H11" s="41">
        <f>IF(F11="","Never verified",IF(TODAY()&gt;F11+D11,"Overdue","OK"))</f>
        <v/>
      </c>
    </row>
    <row r="12" ht="23.85" customHeight="1" s="29">
      <c r="A12" s="41" t="inlineStr">
        <is>
          <t>NFIP authorization status</t>
        </is>
      </c>
      <c r="B12" s="41" t="inlineStr">
        <is>
          <t>FEMA; Congress.gov</t>
        </is>
      </c>
      <c r="C12" s="54" t="n"/>
      <c r="D12" s="55" t="n">
        <v>30</v>
      </c>
      <c r="E12" s="41" t="inlineStr">
        <is>
          <t>Funding deadlines; shutdown risk (next: Dec 11, 2026)</t>
        </is>
      </c>
      <c r="F12" s="56" t="n">
        <v>46295</v>
      </c>
      <c r="G12" s="43">
        <f>IF(F12="","Verify now",F12+D12)</f>
        <v/>
      </c>
      <c r="H12" s="41">
        <f>IF(F12="","Never verified",IF(TODAY()&gt;F12+D12,"Overdue","OK"))</f>
        <v/>
      </c>
    </row>
    <row r="13" ht="15" customHeight="1" s="29">
      <c r="A13" s="41" t="inlineStr">
        <is>
          <t>CEA earthquake terms</t>
        </is>
      </c>
      <c r="B13" s="41" t="inlineStr">
        <is>
          <t>earthquakeauthority.com</t>
        </is>
      </c>
      <c r="C13" s="54" t="n"/>
      <c r="D13" s="55" t="n">
        <v>180</v>
      </c>
      <c r="E13" s="41" t="inlineStr">
        <is>
          <t>CEA rate or product changes</t>
        </is>
      </c>
      <c r="F13" s="56" t="n"/>
      <c r="G13" s="43">
        <f>IF(F13="","Verify now",F13+D13)</f>
        <v/>
      </c>
      <c r="H13" s="41">
        <f>IF(F13="","Never verified",IF(TODAY()&gt;F13+D13,"Overdue","OK"))</f>
        <v/>
      </c>
    </row>
    <row r="14" ht="15" customHeight="1" s="29">
      <c r="A14" s="41" t="inlineStr">
        <is>
          <t>Price benchmarks</t>
        </is>
      </c>
      <c r="B14" s="41" t="inlineStr">
        <is>
          <t>Source publishers; NAIC database reports</t>
        </is>
      </c>
      <c r="C14" s="54" t="n"/>
      <c r="D14" s="55" t="n">
        <v>90</v>
      </c>
      <c r="E14" s="41" t="inlineStr">
        <is>
          <t>New annual reports; rate filings</t>
        </is>
      </c>
      <c r="F14" s="56" t="n"/>
      <c r="G14" s="43">
        <f>IF(F14="","Verify now",F14+D14)</f>
        <v/>
      </c>
      <c r="H14" s="41">
        <f>IF(F14="","Never verified",IF(TODAY()&gt;F14+D14,"Overdue","OK"))</f>
        <v/>
      </c>
    </row>
    <row r="15" ht="15" customHeight="1" s="29">
      <c r="A15" s="41" t="inlineStr">
        <is>
          <t>Regulatory Watch items</t>
        </is>
      </c>
      <c r="B15" s="41" t="inlineStr">
        <is>
          <t>NAIC, state DOIs, Congress.gov</t>
        </is>
      </c>
      <c r="C15" s="54" t="n"/>
      <c r="D15" s="55" t="n">
        <v>30</v>
      </c>
      <c r="E15" s="41" t="inlineStr">
        <is>
          <t>Any new bulletin or law</t>
        </is>
      </c>
      <c r="F15" s="56" t="n"/>
      <c r="G15" s="43">
        <f>IF(F15="","Verify now",F15+D15)</f>
        <v/>
      </c>
      <c r="H15" s="41">
        <f>IF(F15="","Never verified",IF(TODAY()&gt;F15+D15,"Overdue","OK"))</f>
        <v/>
      </c>
    </row>
    <row r="16" ht="15" customHeight="1" s="29">
      <c r="A16" s="41" t="inlineStr">
        <is>
          <t>Conflicts Log</t>
        </is>
      </c>
      <c r="B16" s="41" t="inlineStr">
        <is>
          <t>Primary sources listed in the log</t>
        </is>
      </c>
      <c r="C16" s="54" t="n"/>
      <c r="D16" s="55" t="n">
        <v>30</v>
      </c>
      <c r="E16" s="41" t="inlineStr">
        <is>
          <t>When a conflict is resolved</t>
        </is>
      </c>
      <c r="F16" s="56" t="n"/>
      <c r="G16" s="43">
        <f>IF(F16="","Verify now",F16+D16)</f>
        <v/>
      </c>
      <c r="H16" s="41">
        <f>IF(F16="","Never verified",IF(TODAY()&gt;F16+D16,"Overdue","OK"))</f>
        <v/>
      </c>
    </row>
    <row r="17" ht="15" customHeight="1" s="29">
      <c r="A17" s="41" t="inlineStr">
        <is>
          <t>Source URLs (link check)</t>
        </is>
      </c>
      <c r="B17" s="41" t="inlineStr">
        <is>
          <t>Sources tab</t>
        </is>
      </c>
      <c r="C17" s="54" t="n"/>
      <c r="D17" s="55" t="n">
        <v>90</v>
      </c>
      <c r="E17" s="41" t="inlineStr">
        <is>
          <t>Broken links</t>
        </is>
      </c>
      <c r="F17" s="56" t="n"/>
      <c r="G17" s="43">
        <f>IF(F17="","Verify now",F17+D17)</f>
        <v/>
      </c>
      <c r="H17" s="41">
        <f>IF(F17="","Never verified",IF(TODAY()&gt;F17+D17,"Overdue","OK"))</f>
        <v/>
      </c>
    </row>
    <row r="18" ht="15" customHeight="1" s="29">
      <c r="A18" s="41" t="inlineStr">
        <is>
          <t>Disclosures and legal language</t>
        </is>
      </c>
      <c r="B18" s="41" t="inlineStr">
        <is>
          <t>Counsel</t>
        </is>
      </c>
      <c r="C18" s="54" t="n"/>
      <c r="D18" s="55" t="n">
        <v>180</v>
      </c>
      <c r="E18" s="41" t="inlineStr">
        <is>
          <t>Law changes; new business model</t>
        </is>
      </c>
      <c r="F18" s="56" t="n"/>
      <c r="G18" s="43">
        <f>IF(F18="","Verify now",F18+D18)</f>
        <v/>
      </c>
      <c r="H18" s="41">
        <f>IF(F18="","Never verified",IF(TODAY()&gt;F18+D18,"Overdue","OK"))</f>
        <v/>
      </c>
    </row>
    <row r="20" ht="15" customHeight="1" s="29">
      <c r="A20" s="53" t="inlineStr">
        <is>
          <t>Yellow cells: assign an owner. Blue cells: edit the review interval and Last Verified date after each check. Next Review Due and Status are formulas. Review intervals are suggestions, not researched requirements.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28" min="1" max="1"/>
    <col width="44" customWidth="1" style="28" min="2" max="3"/>
    <col width="38" customWidth="1" style="28" min="4" max="4"/>
    <col width="32" customWidth="1" style="28" min="5" max="5"/>
    <col width="12" customWidth="1" style="28" min="6" max="6"/>
    <col width="60" customWidth="1" style="28" min="7" max="7"/>
  </cols>
  <sheetData>
    <row r="1" ht="31.5" customHeight="1" s="29">
      <c r="A1" s="40" t="inlineStr">
        <is>
          <t>Item</t>
        </is>
      </c>
      <c r="B1" s="40" t="inlineStr">
        <is>
          <t>Source A says</t>
        </is>
      </c>
      <c r="C1" s="40" t="inlineStr">
        <is>
          <t>Source B says</t>
        </is>
      </c>
      <c r="D1" s="40" t="inlineStr">
        <is>
          <t>What to verify</t>
        </is>
      </c>
      <c r="E1" s="40" t="inlineStr">
        <is>
          <t>Where to verify</t>
        </is>
      </c>
      <c r="F1" s="40" t="inlineStr">
        <is>
          <t>Resolved?</t>
        </is>
      </c>
      <c r="G1" s="40" t="inlineStr">
        <is>
          <t>Resolution</t>
        </is>
      </c>
    </row>
    <row r="2" ht="23.85" customHeight="1" s="29">
      <c r="A2" s="41" t="inlineStr">
        <is>
          <t>Virginia minimum liability</t>
        </is>
      </c>
      <c r="B2" s="41" t="inlineStr">
        <is>
          <t>50/100/25 (CarInsurance.com, LiabilityVsFullCoverage)</t>
        </is>
      </c>
      <c r="C2" s="41" t="inlineStr">
        <is>
          <t>30/60/20 (Coverage Criteria)</t>
        </is>
      </c>
      <c r="D2" s="41" t="inlineStr">
        <is>
          <t>Current statutory minimum and effective date</t>
        </is>
      </c>
      <c r="E2" s="41" t="inlineStr">
        <is>
          <t>VA DMV / VA Bureau of Insurance</t>
        </is>
      </c>
      <c r="F2" s="41" t="inlineStr">
        <is>
          <t>Yes</t>
        </is>
      </c>
      <c r="G2" s="41" t="inlineStr">
        <is>
          <t>Not actually conflicting. VA DMV confirms current minimums are 50/100/25, effective Jan 1, 2025. The 30/60/20 figure (Coverage Criteria) was the prior minimum, in effect Jan 1, 2022 - Dec 31, 2024.</t>
        </is>
      </c>
    </row>
    <row r="3" ht="15" customHeight="1" s="29">
      <c r="A3" s="41" t="inlineStr">
        <is>
          <t>Hawaii minimum liability</t>
        </is>
      </c>
      <c r="B3" s="41" t="inlineStr">
        <is>
          <t>40/80/20 in 2026 (Beach Insurance)</t>
        </is>
      </c>
      <c r="C3" s="41" t="inlineStr">
        <is>
          <t>20/40/10 (implied prior limit)</t>
        </is>
      </c>
      <c r="D3" s="41" t="inlineStr">
        <is>
          <t>Whether the 2026 increase is enacted</t>
        </is>
      </c>
      <c r="E3" s="41" t="inlineStr">
        <is>
          <t>Hawaii Insurance Division</t>
        </is>
      </c>
      <c r="F3" s="41" t="inlineStr">
        <is>
          <t>No</t>
        </is>
      </c>
      <c r="G3" s="41" t="n"/>
    </row>
    <row r="4" ht="23.85" customHeight="1" s="29">
      <c r="A4" s="41" t="inlineStr">
        <is>
          <t>New Jersey minimum liability</t>
        </is>
      </c>
      <c r="B4" s="41" t="inlineStr">
        <is>
          <t>35/70/25 effective Jan 1, 2026 (3 sources)</t>
        </is>
      </c>
      <c r="C4" s="41" t="inlineStr">
        <is>
          <t>Older two-tier structure listed (Coverage Criteria, Feb 2026)</t>
        </is>
      </c>
      <c r="D4" s="41" t="inlineStr">
        <is>
          <t>Current Basic and Standard policy limits</t>
        </is>
      </c>
      <c r="E4" s="41" t="inlineStr">
        <is>
          <t>NJ Dept of Banking and Insurance</t>
        </is>
      </c>
      <c r="F4" s="41" t="inlineStr">
        <is>
          <t>No</t>
        </is>
      </c>
      <c r="G4" s="41" t="n"/>
    </row>
    <row r="5" ht="15" customHeight="1" s="29">
      <c r="A5" s="41" t="inlineStr">
        <is>
          <t>Number of PIP-required states</t>
        </is>
      </c>
      <c r="B5" s="41" t="inlineStr">
        <is>
          <t>13 (CarInsurance.com)</t>
        </is>
      </c>
      <c r="C5" s="41" t="inlineStr">
        <is>
          <t>14 (Coverage Criteria) or 16 + DC (ChooseFI)</t>
        </is>
      </c>
      <c r="D5" s="41" t="inlineStr">
        <is>
          <t>Which states require PIP</t>
        </is>
      </c>
      <c r="E5" s="41" t="inlineStr">
        <is>
          <t>State statutes / NAIC</t>
        </is>
      </c>
      <c r="F5" s="41" t="inlineStr">
        <is>
          <t>No</t>
        </is>
      </c>
      <c r="G5" s="41" t="n"/>
    </row>
    <row r="6" ht="23.85" customHeight="1" s="29">
      <c r="A6" s="41" t="inlineStr">
        <is>
          <t>Michigan credit use for auto</t>
        </is>
      </c>
      <c r="B6" s="41" t="inlineStr">
        <is>
          <t>Banned (most sources)</t>
        </is>
      </c>
      <c r="C6" s="41" t="inlineStr">
        <is>
          <t>Allowed with limitations (The Zebra); limited not banned (Firstcard)</t>
        </is>
      </c>
      <c r="D6" s="41" t="inlineStr">
        <is>
          <t>Current Insurance Code language</t>
        </is>
      </c>
      <c r="E6" s="41" t="inlineStr">
        <is>
          <t>Michigan DIFS</t>
        </is>
      </c>
      <c r="F6" s="41" t="inlineStr">
        <is>
          <t>No</t>
        </is>
      </c>
      <c r="G6" s="41" t="n"/>
    </row>
    <row r="7" ht="35.05" customHeight="1" s="29">
      <c r="A7" s="41" t="inlineStr">
        <is>
          <t>California allowed rating factors</t>
        </is>
      </c>
      <c r="B7" s="41" t="inlineStr">
        <is>
          <t>ZIP and marital status allowed with limits (The Zebra)</t>
        </is>
      </c>
      <c r="C7" s="41" t="inlineStr">
        <is>
          <t>Limited to driving record, mileage, experience (Firstcard)</t>
        </is>
      </c>
      <c r="D7" s="41" t="inlineStr">
        <is>
          <t>Prop 103 regulations</t>
        </is>
      </c>
      <c r="E7" s="41" t="inlineStr">
        <is>
          <t>CA Dept of Insurance</t>
        </is>
      </c>
      <c r="F7" s="41" t="inlineStr">
        <is>
          <t>Yes</t>
        </is>
      </c>
      <c r="G7" s="41" t="inlineStr">
        <is>
          <t>Resolved from primary text (10 CCR 2632.5): three mandatory factors plus an approved optional list that includes ZIP-based claims bands and marital status. Neither source was fully right.</t>
        </is>
      </c>
    </row>
    <row r="8" ht="23.85" customHeight="1" s="29">
      <c r="A8" s="41" t="inlineStr">
        <is>
          <t>Progressive / State Farm telematics surcharge</t>
        </is>
      </c>
      <c r="B8" s="41" t="inlineStr">
        <is>
          <t>Progressive can surcharge in some states; State Farm says no surcharge</t>
        </is>
      </c>
      <c r="C8" s="41" t="inlineStr">
        <is>
          <t>Insurify: some programs can raise rates</t>
        </is>
      </c>
      <c r="D8" s="41" t="inlineStr">
        <is>
          <t>State-by-state filing terms</t>
        </is>
      </c>
      <c r="E8" s="41" t="inlineStr">
        <is>
          <t>Carrier filings / state DOI</t>
        </is>
      </c>
      <c r="F8" s="41" t="inlineStr">
        <is>
          <t>No</t>
        </is>
      </c>
      <c r="G8" s="41" t="n"/>
    </row>
    <row r="9" ht="23.85" customHeight="1" s="29">
      <c r="A9" s="41" t="inlineStr">
        <is>
          <t>Share of NFIP claims outside high-risk zones</t>
        </is>
      </c>
      <c r="B9" s="41" t="inlineStr">
        <is>
          <t>About 20% (Cover Forge)</t>
        </is>
      </c>
      <c r="C9" s="41" t="inlineStr">
        <is>
          <t>Over 40% (Atesa)</t>
        </is>
      </c>
      <c r="D9" s="41" t="inlineStr">
        <is>
          <t>FEMA claims data</t>
        </is>
      </c>
      <c r="E9" s="41" t="inlineStr">
        <is>
          <t>FEMA / FloodSmart</t>
        </is>
      </c>
      <c r="F9" s="41" t="inlineStr">
        <is>
          <t>No</t>
        </is>
      </c>
      <c r="G9" s="41" t="n"/>
    </row>
    <row r="10" ht="15" customHeight="1" s="29">
      <c r="A10" s="41" t="inlineStr">
        <is>
          <t>NFIP authorization after Sept 30, 2026</t>
        </is>
      </c>
      <c r="B10" s="41" t="inlineStr">
        <is>
          <t>Expires Sept 30, 2026 (FEMA, NAR)</t>
        </is>
      </c>
      <c r="C10" s="41" t="inlineStr">
        <is>
          <t>CRS item references Dec 11, 2026</t>
        </is>
      </c>
      <c r="D10" s="41" t="inlineStr">
        <is>
          <t>Whether an extension passed</t>
        </is>
      </c>
      <c r="E10" s="41" t="inlineStr">
        <is>
          <t>FEMA, Congress.gov</t>
        </is>
      </c>
      <c r="F10" s="41" t="inlineStr">
        <is>
          <t>Yes</t>
        </is>
      </c>
      <c r="G10" s="41" t="inlineStr">
        <is>
          <t>Resolved: authorized through Dec 11, 2026 (CRS; NAHB).</t>
        </is>
      </c>
    </row>
    <row r="11" ht="23.85" customHeight="1" s="29">
      <c r="A11" s="41" t="inlineStr">
        <is>
          <t>U.S. auto average premium</t>
        </is>
      </c>
      <c r="B11" s="41" t="inlineStr">
        <is>
          <t>$1,820 (InsurTool) full coverage</t>
        </is>
      </c>
      <c r="C11" s="41" t="inlineStr">
        <is>
          <t>$2,922 (Experian) full coverage</t>
        </is>
      </c>
      <c r="D11" s="41" t="inlineStr">
        <is>
          <t>Methodology of each; use ranges, not one number</t>
        </is>
      </c>
      <c r="E11" s="41" t="inlineStr">
        <is>
          <t>Source methodologies / NAIC</t>
        </is>
      </c>
      <c r="F11" s="41" t="inlineStr">
        <is>
          <t>No</t>
        </is>
      </c>
      <c r="G11" s="41" t="n"/>
    </row>
    <row r="12" ht="15" customHeight="1" s="29">
      <c r="A12" s="41" t="inlineStr">
        <is>
          <t>Umbrella cost per additional $1M</t>
        </is>
      </c>
      <c r="B12" s="41" t="inlineStr">
        <is>
          <t>$50-$75 (Real Cost Report)</t>
        </is>
      </c>
      <c r="C12" s="41" t="inlineStr">
        <is>
          <t>$75-$150 (UseCalcPro)</t>
        </is>
      </c>
      <c r="D12" s="41" t="inlineStr">
        <is>
          <t>Carrier rate quotes</t>
        </is>
      </c>
      <c r="E12" s="41" t="inlineStr">
        <is>
          <t>Carrier quotes</t>
        </is>
      </c>
      <c r="F12" s="41" t="inlineStr">
        <is>
          <t>No</t>
        </is>
      </c>
      <c r="G12" s="41" t="n"/>
    </row>
    <row r="13" ht="15" customHeight="1" s="29">
      <c r="A13" s="41" t="inlineStr">
        <is>
          <t>Senior driver course discount mandates</t>
        </is>
      </c>
      <c r="B13" s="41" t="inlineStr">
        <is>
          <t>'Most states' (Insurance.com)</t>
        </is>
      </c>
      <c r="C13" s="41" t="inlineStr">
        <is>
          <t>'Many states' (SafeDriver.com)</t>
        </is>
      </c>
      <c r="D13" s="41" t="inlineStr">
        <is>
          <t>Which states mandate it and age thresholds</t>
        </is>
      </c>
      <c r="E13" s="41" t="inlineStr">
        <is>
          <t>State DOIs</t>
        </is>
      </c>
      <c r="F13" s="41" t="inlineStr">
        <is>
          <t>No</t>
        </is>
      </c>
      <c r="G13" s="41" t="n"/>
    </row>
    <row r="14" ht="23.85" customHeight="1" s="29">
      <c r="A14" s="41" t="inlineStr">
        <is>
          <t>Florida Citizens policy count</t>
        </is>
      </c>
      <c r="B14" s="41" t="inlineStr">
        <is>
          <t>Over 1.2 million (Louis Law Group, Apr 2026)</t>
        </is>
      </c>
      <c r="C14" s="41" t="inlineStr">
        <is>
          <t>Under 400,000 (Lewis Insurance, Jan 2026)</t>
        </is>
      </c>
      <c r="D14" s="41" t="inlineStr">
        <is>
          <t>Current Citizens policy count and date</t>
        </is>
      </c>
      <c r="E14" s="41" t="inlineStr">
        <is>
          <t>Citizens Property Insurance Corporation; OIR</t>
        </is>
      </c>
      <c r="F14" s="41" t="inlineStr">
        <is>
          <t>No</t>
        </is>
      </c>
      <c r="G14" s="41" t="n"/>
    </row>
    <row r="15" ht="35.05" customHeight="1" s="29">
      <c r="A15" s="41" t="inlineStr">
        <is>
          <t>Texas TWIA dwelling limit</t>
        </is>
      </c>
      <c r="B15" s="41" t="inlineStr">
        <is>
          <t>About $1.8 million (agency blogs)</t>
        </is>
      </c>
      <c r="C15" s="41" t="inlineStr">
        <is>
          <t>Commissioner disapproved a proposed increase to $1,809,000 (TDI Order 2025-9540, per an agency blog)</t>
        </is>
      </c>
      <c r="D15" s="41" t="inlineStr">
        <is>
          <t>Current TWIA maximum limits</t>
        </is>
      </c>
      <c r="E15" s="41" t="inlineStr">
        <is>
          <t>TWIA; TDI order</t>
        </is>
      </c>
      <c r="F15" s="41" t="inlineStr">
        <is>
          <t>No</t>
        </is>
      </c>
      <c r="G15" s="41" t="n"/>
    </row>
    <row r="16" ht="23.85" customHeight="1" s="29">
      <c r="A16" s="41" t="inlineStr">
        <is>
          <t>Florida auto cancellation / nonrenewal notice rules</t>
        </is>
      </c>
      <c r="B16" s="41" t="inlineStr">
        <is>
          <t>627.728: 45 days for cancellation (10 for nonpayment); appeal right to OIR</t>
        </is>
      </c>
      <c r="C16" s="41" t="inlineStr">
        <is>
          <t>626.9201: 45 days for nonrenewal, but it sits in the surplus lines part of the code</t>
        </is>
      </c>
      <c r="D16" s="41" t="inlineStr">
        <is>
          <t>Which section governs nonrenewal of private passenger auto in Florida</t>
        </is>
      </c>
      <c r="E16" s="41" t="inlineStr">
        <is>
          <t>Florida Statutes 627.728 and related; OIR / DFS</t>
        </is>
      </c>
      <c r="F16" s="41" t="inlineStr">
        <is>
          <t>No</t>
        </is>
      </c>
      <c r="G16" s="41" t="n"/>
    </row>
    <row r="17" ht="23.85" customHeight="1" s="29">
      <c r="A17" s="41" t="inlineStr">
        <is>
          <t>Texas PIP minimum amount</t>
        </is>
      </c>
      <c r="B17" s="41" t="inlineStr">
        <is>
          <t>TDI: PIP included unless rejected; amount not stated</t>
        </is>
      </c>
      <c r="C17" s="41" t="inlineStr">
        <is>
          <t>Law-firm blog: insurers must offer $2,500 PIP</t>
        </is>
      </c>
      <c r="D17" s="41" t="inlineStr">
        <is>
          <t>Statutory PIP amount</t>
        </is>
      </c>
      <c r="E17" s="41" t="inlineStr">
        <is>
          <t>Texas Insurance Code 1952 subchapter D</t>
        </is>
      </c>
      <c r="F17" s="41" t="inlineStr">
        <is>
          <t>No</t>
        </is>
      </c>
      <c r="G17" s="41" t="n"/>
    </row>
    <row r="18" ht="23.85" customHeight="1" s="29">
      <c r="A18" s="41" t="inlineStr">
        <is>
          <t>California homeowners credit use</t>
        </is>
      </c>
      <c r="B18" s="41" t="inlineStr">
        <is>
          <t>Experian (2025): CA insurers do not use credit for home rates</t>
        </is>
      </c>
      <c r="C18" s="41" t="inlineStr">
        <is>
          <t>Older reports: some insurers used credit in underwriting; no explicit statute found</t>
        </is>
      </c>
      <c r="D18" s="41" t="inlineStr">
        <is>
          <t>Whether credit may be used in CA homeowners underwriting or rating</t>
        </is>
      </c>
      <c r="E18" s="41" t="inlineStr">
        <is>
          <t>CDI; Insurance Code; CDI homeowners rate filing rules</t>
        </is>
      </c>
      <c r="F18" s="41" t="inlineStr">
        <is>
          <t>No</t>
        </is>
      </c>
      <c r="G18" s="41" t="n"/>
    </row>
    <row r="19" ht="23.85" customHeight="1" s="29">
      <c r="A19" s="41" t="inlineStr">
        <is>
          <t>Safer from Wildfires legal citation</t>
        </is>
      </c>
      <c r="B19" s="41" t="inlineStr">
        <is>
          <t>Insurance Code 2644.9 (several secondary sites)</t>
        </is>
      </c>
      <c r="C19" s="41" t="inlineStr">
        <is>
          <t>Title 10 California Code of Regulations section 2644.9 (CDI framing; RFF paper)</t>
        </is>
      </c>
      <c r="D19" s="41" t="inlineStr">
        <is>
          <t>Correct citation</t>
        </is>
      </c>
      <c r="E19" s="41" t="inlineStr">
        <is>
          <t>CDI regulation text</t>
        </is>
      </c>
      <c r="F19" s="41" t="inlineStr">
        <is>
          <t>Yes</t>
        </is>
      </c>
      <c r="G19" s="41" t="inlineStr">
        <is>
          <t>It is a Title 10 regulation (10 CCR 2644.9), not an Insurance Code section. Use the regulation citation.</t>
        </is>
      </c>
    </row>
    <row r="20" ht="23.85" customHeight="1" s="29">
      <c r="A20" s="41" t="inlineStr">
        <is>
          <t>California FAIR Plan policy count</t>
        </is>
      </c>
      <c r="B20" s="41" t="inlineStr">
        <is>
          <t>668,600 at end-2025 (InsuranceNewsNet)</t>
        </is>
      </c>
      <c r="C20" s="41" t="inlineStr">
        <is>
          <t>About 697,000 in June 2026 (CalMatters); 550,000+ (Coverage Cat, looks stale)</t>
        </is>
      </c>
      <c r="D20" s="41" t="inlineStr">
        <is>
          <t>Current policy count and date</t>
        </is>
      </c>
      <c r="E20" s="41" t="inlineStr">
        <is>
          <t>California FAIR Plan / CDI data</t>
        </is>
      </c>
      <c r="F20" s="41" t="inlineStr">
        <is>
          <t>No</t>
        </is>
      </c>
      <c r="G20" s="41" t="n"/>
    </row>
    <row r="21" ht="23.85" customHeight="1" s="29">
      <c r="A21" s="41" t="inlineStr">
        <is>
          <t>California cash deposit / surety bond amount</t>
        </is>
      </c>
      <c r="B21" s="41" t="inlineStr">
        <is>
          <t>$35,000 (CDI Form 101, rev. Feb 5, 2025)</t>
        </is>
      </c>
      <c r="C21" s="41" t="inlineStr">
        <is>
          <t>$75,000 (DMV page, modified Jul 10, 2025)</t>
        </is>
      </c>
      <c r="D21" s="41" t="inlineStr">
        <is>
          <t>Current statutory amount</t>
        </is>
      </c>
      <c r="E21" s="41" t="inlineStr">
        <is>
          <t>DMV Insurance Unit; Vehicle Code financial responsibility sections</t>
        </is>
      </c>
      <c r="F21" s="41" t="inlineStr">
        <is>
          <t>Yes</t>
        </is>
      </c>
      <c r="G21" s="41" t="inlineStr">
        <is>
          <t>Resolved: $75,000 under SB 1107 and the DMV page; CDI Form 101 is out of date.</t>
        </is>
      </c>
    </row>
  </sheetData>
  <autoFilter ref="A1:G21"/>
  <dataValidations count="1">
    <dataValidation sqref="F2:F200" showDropDown="0" showInputMessage="0" showErrorMessage="0" allowBlank="1" type="list" errorStyle="stop" operator="between">
      <formula1>"No,Yes"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E1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28" min="1" max="1"/>
    <col width="30" customWidth="1" style="28" min="2" max="2"/>
    <col width="70" customWidth="1" style="28" min="3" max="3"/>
    <col width="60" customWidth="1" style="28" min="4" max="4"/>
    <col width="14" customWidth="1" style="28" min="5" max="5"/>
  </cols>
  <sheetData>
    <row r="1" ht="31.5" customHeight="1" s="29">
      <c r="A1" s="40" t="inlineStr">
        <is>
          <t>Source</t>
        </is>
      </c>
      <c r="B1" s="40" t="inlineStr">
        <is>
          <t>Publisher Type</t>
        </is>
      </c>
      <c r="C1" s="40" t="inlineStr">
        <is>
          <t>URL</t>
        </is>
      </c>
      <c r="D1" s="40" t="inlineStr">
        <is>
          <t>Reliability / Commercial Note</t>
        </is>
      </c>
      <c r="E1" s="40" t="inlineStr">
        <is>
          <t>Date Accessed</t>
        </is>
      </c>
    </row>
    <row r="2" ht="15" customHeight="1" s="29">
      <c r="A2" s="41" t="inlineStr">
        <is>
          <t>GEICO - Defensive driving discounts by state</t>
        </is>
      </c>
      <c r="B2" s="41" t="inlineStr">
        <is>
          <t>Carrier-published</t>
        </is>
      </c>
      <c r="C2" s="42" t="inlineStr">
        <is>
          <t>https://www.geico.com/save/discounts/defensive-driver-discounts/</t>
        </is>
      </c>
      <c r="D2" s="41" t="inlineStr">
        <is>
          <t>Carrier's own statement; applies to GEICO only.</t>
        </is>
      </c>
      <c r="E2" s="43" t="n">
        <v>46295</v>
      </c>
    </row>
    <row r="3" ht="15" customHeight="1" s="29">
      <c r="A3" s="41" t="inlineStr">
        <is>
          <t>State Farm - Auto insurance discounts</t>
        </is>
      </c>
      <c r="B3" s="41" t="inlineStr">
        <is>
          <t>Carrier-published</t>
        </is>
      </c>
      <c r="C3" s="42" t="inlineStr">
        <is>
          <t>https://www.statefarm.com/insurance/auto/discounts</t>
        </is>
      </c>
      <c r="D3" s="41" t="inlineStr">
        <is>
          <t>States that discounts vary by state.</t>
        </is>
      </c>
      <c r="E3" s="43" t="n">
        <v>46295</v>
      </c>
    </row>
    <row r="4" ht="23.85" customHeight="1" s="29">
      <c r="A4" s="41" t="inlineStr">
        <is>
          <t>Insurify - Car insurance report (H1 2026)</t>
        </is>
      </c>
      <c r="B4" s="41" t="inlineStr">
        <is>
          <t>Comparison marketplace (earns referral fees)</t>
        </is>
      </c>
      <c r="C4" s="42" t="inlineStr">
        <is>
          <t>https://insurify.com/car-insurance/report/</t>
        </is>
      </c>
      <c r="D4" s="41" t="inlineStr">
        <is>
          <t>Comparison marketplace data.</t>
        </is>
      </c>
      <c r="E4" s="43" t="n">
        <v>46295</v>
      </c>
    </row>
    <row r="5" ht="23.85" customHeight="1" s="29">
      <c r="A5" s="41" t="inlineStr">
        <is>
          <t>Insurify - Home insurance rates H1 2026</t>
        </is>
      </c>
      <c r="B5" s="41" t="inlineStr">
        <is>
          <t>Comparison marketplace (earns referral fees)</t>
        </is>
      </c>
      <c r="C5" s="42" t="inlineStr">
        <is>
          <t>https://insurify.com/homeowners-insurance/insights/rates-increase-first-half-2026/</t>
        </is>
      </c>
      <c r="D5" s="41" t="inlineStr">
        <is>
          <t>Comparison marketplace data.</t>
        </is>
      </c>
      <c r="E5" s="43" t="n">
        <v>46295</v>
      </c>
    </row>
    <row r="6" ht="23.85" customHeight="1" s="29">
      <c r="A6" s="41" t="inlineStr">
        <is>
          <t>Insurify - Telematics car insurance programs</t>
        </is>
      </c>
      <c r="B6" s="41" t="inlineStr">
        <is>
          <t>Comparison marketplace (earns referral fees)</t>
        </is>
      </c>
      <c r="C6" s="42" t="inlineStr">
        <is>
          <t>https://insurify.com/car-insurance/coverage/telematics/</t>
        </is>
      </c>
      <c r="D6" s="41" t="inlineStr">
        <is>
          <t>Comparison marketplace.</t>
        </is>
      </c>
      <c r="E6" s="43" t="n">
        <v>46295</v>
      </c>
    </row>
    <row r="7" ht="23.85" customHeight="1" s="29">
      <c r="A7" s="41" t="inlineStr">
        <is>
          <t>The Zebra - Car insurance rating factors by state</t>
        </is>
      </c>
      <c r="B7" s="41" t="inlineStr">
        <is>
          <t>Comparison marketplace (earns referral fees)</t>
        </is>
      </c>
      <c r="C7" s="42" t="inlineStr">
        <is>
          <t>https://www.thezebra.com/resources/research/car-insurance-rating-factors-by-state/</t>
        </is>
      </c>
      <c r="D7" s="41" t="inlineStr">
        <is>
          <t>Dated Oct 2025; verify against state law.</t>
        </is>
      </c>
      <c r="E7" s="43" t="n">
        <v>46295</v>
      </c>
    </row>
    <row r="8" ht="15" customHeight="1" s="29">
      <c r="A8" s="41" t="inlineStr">
        <is>
          <t>AutoInsurance.org - Requirements by state</t>
        </is>
      </c>
      <c r="B8" s="41" t="inlineStr">
        <is>
          <t>Publisher / media</t>
        </is>
      </c>
      <c r="C8" s="42" t="inlineStr">
        <is>
          <t>https://www.autoinsurance.org/car-insurance-requirements/</t>
        </is>
      </c>
      <c r="D8" s="41" t="n"/>
      <c r="E8" s="43" t="n">
        <v>46295</v>
      </c>
    </row>
    <row r="9" ht="15" customHeight="1" s="29">
      <c r="A9" s="41" t="inlineStr">
        <is>
          <t>Bankrate - Are telematics programs worth the discount</t>
        </is>
      </c>
      <c r="B9" s="41" t="inlineStr">
        <is>
          <t>Publisher / media</t>
        </is>
      </c>
      <c r="C9" s="42" t="inlineStr">
        <is>
          <t>https://www.bankrate.com/insurance/car/are-telematics-programs-worth-the-discount/</t>
        </is>
      </c>
      <c r="D9" s="41" t="n"/>
      <c r="E9" s="43" t="n">
        <v>46295</v>
      </c>
    </row>
    <row r="10" ht="15" customHeight="1" s="29">
      <c r="A10" s="41" t="inlineStr">
        <is>
          <t>CNBC - Insurance rates based on credit history draw scrutiny</t>
        </is>
      </c>
      <c r="B10" s="41" t="inlineStr">
        <is>
          <t>Publisher / media</t>
        </is>
      </c>
      <c r="C10" s="42" t="inlineStr">
        <is>
          <t>https://www.cnbc.com/2026/04/26/insurance-rates-credit-history.html</t>
        </is>
      </c>
      <c r="D10" s="41" t="n"/>
      <c r="E10" s="43" t="n">
        <v>46295</v>
      </c>
    </row>
    <row r="11" ht="15" customHeight="1" s="29">
      <c r="A11" s="41" t="inlineStr">
        <is>
          <t>CNBC Select - State minimum requirements</t>
        </is>
      </c>
      <c r="B11" s="41" t="inlineStr">
        <is>
          <t>Publisher / media</t>
        </is>
      </c>
      <c r="C11" s="42" t="inlineStr">
        <is>
          <t>https://www.cnbc.com/select/state-minimum-car-insurance-requirements/</t>
        </is>
      </c>
      <c r="D11" s="41" t="inlineStr">
        <is>
          <t>Dated Dec 2025.</t>
        </is>
      </c>
      <c r="E11" s="43" t="n">
        <v>46295</v>
      </c>
    </row>
    <row r="12" ht="15" customHeight="1" s="29">
      <c r="A12" s="41" t="inlineStr">
        <is>
          <t>CarInsurance.com - Minimum liability by state (Apr 2026)</t>
        </is>
      </c>
      <c r="B12" s="41" t="inlineStr">
        <is>
          <t>Publisher / media</t>
        </is>
      </c>
      <c r="C12" s="42" t="inlineStr">
        <is>
          <t>https://www.carinsurance.com/Articles/minimum-liability-car-insurance-requirements-by-state.aspx</t>
        </is>
      </c>
      <c r="D12" s="41" t="n"/>
      <c r="E12" s="43" t="n">
        <v>46295</v>
      </c>
    </row>
    <row r="13" ht="15" customHeight="1" s="29">
      <c r="A13" s="41" t="inlineStr">
        <is>
          <t>Experian - Average cost of car insurance</t>
        </is>
      </c>
      <c r="B13" s="41" t="inlineStr">
        <is>
          <t>Publisher / media</t>
        </is>
      </c>
      <c r="C13" s="42" t="inlineStr">
        <is>
          <t>https://www.experian.com/blogs/ask-experian/average-cost-car-insurance/</t>
        </is>
      </c>
      <c r="D13" s="41" t="inlineStr">
        <is>
          <t>Based on policies sold through Experian's marketplace.</t>
        </is>
      </c>
      <c r="E13" s="43" t="n">
        <v>46295</v>
      </c>
    </row>
    <row r="14" ht="15" customHeight="1" s="29">
      <c r="A14" s="41" t="inlineStr">
        <is>
          <t>Experian - States that restrict credit-based insurance scores</t>
        </is>
      </c>
      <c r="B14" s="41" t="inlineStr">
        <is>
          <t>Publisher / media</t>
        </is>
      </c>
      <c r="C14" s="42" t="inlineStr">
        <is>
          <t>https://www.experian.com/blogs/ask-experian/which-states-prohibit-or-restrict-the-use-of-credit-based-insurance-scores/</t>
        </is>
      </c>
      <c r="D14" s="41" t="inlineStr">
        <is>
          <t>Dated Mar 2025.</t>
        </is>
      </c>
      <c r="E14" s="43" t="n">
        <v>46295</v>
      </c>
    </row>
    <row r="15" ht="15" customHeight="1" s="29">
      <c r="A15" s="41" t="inlineStr">
        <is>
          <t>Insurance.com - Auto insurance discounts guide</t>
        </is>
      </c>
      <c r="B15" s="41" t="inlineStr">
        <is>
          <t>Publisher / media</t>
        </is>
      </c>
      <c r="C15" s="42" t="inlineStr">
        <is>
          <t>https://www.insurance.com/auto-insurance/car-insurance-discounts.html</t>
        </is>
      </c>
      <c r="D15" s="41" t="n"/>
      <c r="E15" s="43" t="n">
        <v>46295</v>
      </c>
    </row>
    <row r="16" ht="15" customHeight="1" s="29">
      <c r="A16" s="41" t="inlineStr">
        <is>
          <t>InsuranceNewsNet - FAIR Plan rates going up 29.1% (May 2026)</t>
        </is>
      </c>
      <c r="B16" s="41" t="inlineStr">
        <is>
          <t>Publisher / media</t>
        </is>
      </c>
      <c r="C16" s="42" t="inlineStr">
        <is>
          <t>https://insurancenewsnet.com/oarticle/california-fair-plan-rates-going-up-29-1-in-late-2026</t>
        </is>
      </c>
      <c r="D16" s="41" t="inlineStr">
        <is>
          <t>News report.</t>
        </is>
      </c>
      <c r="E16" s="43" t="n">
        <v>46295</v>
      </c>
    </row>
    <row r="17" ht="15" customHeight="1" s="29">
      <c r="A17" s="41" t="inlineStr">
        <is>
          <t>KQED - FAIR Plan announces 29.1% rate hike (Aug 2026)</t>
        </is>
      </c>
      <c r="B17" s="41" t="inlineStr">
        <is>
          <t>Publisher / media</t>
        </is>
      </c>
      <c r="C17" s="42" t="inlineStr">
        <is>
          <t>https://www.kqed.org/news/12094860/california-fair-plan-announces-29-1-rate-hike-for-homeowners-this-fall</t>
        </is>
      </c>
      <c r="D17" s="41" t="inlineStr">
        <is>
          <t>News report; not the CDI decision document.</t>
        </is>
      </c>
      <c r="E17" s="43" t="n">
        <v>46295</v>
      </c>
    </row>
    <row r="18" ht="15" customHeight="1" s="29">
      <c r="A18" s="41" t="inlineStr">
        <is>
          <t>Kiplinger - How much umbrella insurance do I need</t>
        </is>
      </c>
      <c r="B18" s="41" t="inlineStr">
        <is>
          <t>Publisher / media</t>
        </is>
      </c>
      <c r="C18" s="42" t="inlineStr">
        <is>
          <t>https://www.kiplinger.com/personal-finance/insurance/umbrella-insurance/603237/how-much-umbrella-insurance-do-i-need</t>
        </is>
      </c>
      <c r="D18" s="41" t="inlineStr">
        <is>
          <t>Cites Trusted Choice.</t>
        </is>
      </c>
      <c r="E18" s="43" t="n">
        <v>46295</v>
      </c>
    </row>
    <row r="19" ht="15" customHeight="1" s="29">
      <c r="A19" s="41" t="inlineStr">
        <is>
          <t>MoneyGeek - Defensive driver discounts</t>
        </is>
      </c>
      <c r="B19" s="41" t="inlineStr">
        <is>
          <t>Publisher / media</t>
        </is>
      </c>
      <c r="C19" s="42" t="inlineStr">
        <is>
          <t>https://www.moneygeek.com/insurance/auto/defensive-driver-courses/</t>
        </is>
      </c>
      <c r="D19" s="41" t="n"/>
      <c r="E19" s="43" t="n">
        <v>46295</v>
      </c>
    </row>
    <row r="20" ht="15" customHeight="1" s="29">
      <c r="A20" s="41" t="inlineStr">
        <is>
          <t>MoneyGeek - Insurers that don't check credit</t>
        </is>
      </c>
      <c r="B20" s="41" t="inlineStr">
        <is>
          <t>Publisher / media</t>
        </is>
      </c>
      <c r="C20" s="42" t="inlineStr">
        <is>
          <t>https://www.moneygeek.com/insurance/auto/which-insurance-companies-dont-check-credit-score/</t>
        </is>
      </c>
      <c r="D20" s="41" t="inlineStr">
        <is>
          <t>Notes Washington credit ban struck down in 2021.</t>
        </is>
      </c>
      <c r="E20" s="43" t="n">
        <v>46295</v>
      </c>
    </row>
    <row r="21" ht="15" customHeight="1" s="29">
      <c r="A21" s="41" t="inlineStr">
        <is>
          <t>NerdWallet - Average homeowners insurance cost</t>
        </is>
      </c>
      <c r="B21" s="41" t="inlineStr">
        <is>
          <t>Publisher / media</t>
        </is>
      </c>
      <c r="C21" s="42" t="inlineStr">
        <is>
          <t>https://www.nerdwallet.com/insurance/homeowners/learn/average-homeowners-insurance-cost</t>
        </is>
      </c>
      <c r="D21" s="41" t="inlineStr">
        <is>
          <t>Analysis of 100+ insurers' pricing data.</t>
        </is>
      </c>
      <c r="E21" s="43" t="n">
        <v>46295</v>
      </c>
    </row>
    <row r="22" ht="15" customHeight="1" s="29">
      <c r="A22" s="41" t="inlineStr">
        <is>
          <t>NerdWallet - Umbrella insurance guide</t>
        </is>
      </c>
      <c r="B22" s="41" t="inlineStr">
        <is>
          <t>Publisher / media</t>
        </is>
      </c>
      <c r="C22" s="42" t="inlineStr">
        <is>
          <t>https://www.nerdwallet.com/insurance/homeowners/learn/umbrella-insurance</t>
        </is>
      </c>
      <c r="D22" s="41" t="n"/>
      <c r="E22" s="43" t="n">
        <v>46295</v>
      </c>
    </row>
    <row r="23" ht="15" customHeight="1" s="29">
      <c r="A23" s="41" t="inlineStr">
        <is>
          <t>Newsweek - Where your credit score can/can't raise insurance costs</t>
        </is>
      </c>
      <c r="B23" s="41" t="inlineStr">
        <is>
          <t>Publisher / media</t>
        </is>
      </c>
      <c r="C23" s="42" t="inlineStr">
        <is>
          <t>https://www.newsweek.com/where-your-credit-score-can-cant-raise-insurance-costs-11885672</t>
        </is>
      </c>
      <c r="D23" s="41" t="n"/>
      <c r="E23" s="43" t="n">
        <v>46295</v>
      </c>
    </row>
    <row r="24" ht="23.85" customHeight="1" s="29">
      <c r="A24" s="41" t="inlineStr">
        <is>
          <t>Resources for the Future - Insurance discounts for wildfire mitigation (WP 25-30)</t>
        </is>
      </c>
      <c r="B24" s="41" t="inlineStr">
        <is>
          <t>Publisher / media</t>
        </is>
      </c>
      <c r="C24" s="42" t="inlineStr">
        <is>
          <t>https://media.rff.org/documents/WP_25-30.pdf</t>
        </is>
      </c>
      <c r="D24" s="41" t="inlineStr">
        <is>
          <t>Research paper describing 10 CCR 2644.9 disclosure and appeal rights.</t>
        </is>
      </c>
      <c r="E24" s="43" t="n">
        <v>46295</v>
      </c>
    </row>
    <row r="25" ht="15" customHeight="1" s="29">
      <c r="A25" s="41" t="inlineStr">
        <is>
          <t>U.S. News - Average cost of car insurance (Aug 2026)</t>
        </is>
      </c>
      <c r="B25" s="41" t="inlineStr">
        <is>
          <t>Publisher / media</t>
        </is>
      </c>
      <c r="C25" s="42" t="inlineStr">
        <is>
          <t>https://www.usnews.com/insurance/auto/average-cost-of-car-insurance</t>
        </is>
      </c>
      <c r="D25" s="41" t="inlineStr">
        <is>
          <t>Coverage level not specified in snippet.</t>
        </is>
      </c>
      <c r="E25" s="43" t="n">
        <v>46295</v>
      </c>
    </row>
    <row r="26" ht="23.85" customHeight="1" s="29">
      <c r="A26" s="41" t="inlineStr">
        <is>
          <t>United Policyholders - Should states ban credit-based insurance scoring? (2013)</t>
        </is>
      </c>
      <c r="B26" s="41" t="inlineStr">
        <is>
          <t>Publisher / media</t>
        </is>
      </c>
      <c r="C26" s="42" t="inlineStr">
        <is>
          <t>https://uphelp.org/should-states-ban-credit-based-insurance-scoring/</t>
        </is>
      </c>
      <c r="D26" s="41" t="inlineStr">
        <is>
          <t>Quotes a CDI-side view that homeowners rate filings depending on credit are not approved. Old.</t>
        </is>
      </c>
      <c r="E26" s="43" t="n">
        <v>46295</v>
      </c>
    </row>
    <row r="27" ht="15" customHeight="1" s="29">
      <c r="A27" s="41" t="inlineStr">
        <is>
          <t>ValuePenguin - State of Auto Insurance 2026</t>
        </is>
      </c>
      <c r="B27" s="41" t="inlineStr">
        <is>
          <t>Publisher / media</t>
        </is>
      </c>
      <c r="C27" s="42" t="inlineStr">
        <is>
          <t>https://www.valuepenguin.com/state-of-auto-insurance-2026</t>
        </is>
      </c>
      <c r="D27" s="41" t="n"/>
      <c r="E27" s="43" t="n">
        <v>46295</v>
      </c>
    </row>
    <row r="28" ht="15" customHeight="1" s="29">
      <c r="A28" s="41" t="inlineStr">
        <is>
          <t>10 CCR section 2632.12 - Good Driver Discount (text via Cornell LII)</t>
        </is>
      </c>
      <c r="B28" s="41" t="inlineStr">
        <is>
          <t>Regulator / government</t>
        </is>
      </c>
      <c r="C28" s="42" t="inlineStr">
        <is>
          <t>https://www.law.cornell.edu/regulations/california/10-CCR-2632.12</t>
        </is>
      </c>
      <c r="D28" s="41" t="inlineStr">
        <is>
          <t>Regulation text; confirm against official source.</t>
        </is>
      </c>
      <c r="E28" s="43" t="n">
        <v>46295</v>
      </c>
    </row>
    <row r="29" ht="15" customHeight="1" s="29">
      <c r="A29" s="41" t="inlineStr">
        <is>
          <t>10 CCR section 2632.5 - Rating Factors (text via Cornell LII)</t>
        </is>
      </c>
      <c r="B29" s="41" t="inlineStr">
        <is>
          <t>Regulator / government</t>
        </is>
      </c>
      <c r="C29" s="42" t="inlineStr">
        <is>
          <t>https://www.law.cornell.edu/regulations/california/10-CCR-2632.5</t>
        </is>
      </c>
      <c r="D29" s="41" t="inlineStr">
        <is>
          <t>Regulation text; confirm against the official California Code of Regulations.</t>
        </is>
      </c>
      <c r="E29" s="43" t="n">
        <v>46295</v>
      </c>
    </row>
    <row r="30" ht="15" customHeight="1" s="29">
      <c r="A30" s="41" t="inlineStr">
        <is>
          <t>CA DMV - Auto Insurance Requirements (modified Jul 10, 2025)</t>
        </is>
      </c>
      <c r="B30" s="41" t="inlineStr">
        <is>
          <t>Regulator / government</t>
        </is>
      </c>
      <c r="C30" s="42" t="inlineStr">
        <is>
          <t>https://www.dmv.ca.gov/portal/vehicle-registration/insurance-requirements/</t>
        </is>
      </c>
      <c r="D30" s="41" t="inlineStr">
        <is>
          <t>Primary source; cites Insurance Code section 11580.1(b).</t>
        </is>
      </c>
      <c r="E30" s="43" t="n">
        <v>46295</v>
      </c>
    </row>
    <row r="31" ht="15" customHeight="1" s="29">
      <c r="A31" s="41" t="inlineStr">
        <is>
          <t>CA Dept of Insurance - Earthquake Insurance</t>
        </is>
      </c>
      <c r="B31" s="41" t="inlineStr">
        <is>
          <t>Regulator / government</t>
        </is>
      </c>
      <c r="C31" s="42" t="inlineStr">
        <is>
          <t>https://www.insurance.ca.gov/01-consumers/105-type/95-guides/03-res/eq-ins.cfm</t>
        </is>
      </c>
      <c r="D31" s="41" t="inlineStr">
        <is>
          <t>Regulator page; primary source.</t>
        </is>
      </c>
      <c r="E31" s="43" t="n">
        <v>46295</v>
      </c>
    </row>
    <row r="32" ht="15" customHeight="1" s="29">
      <c r="A32" s="41" t="inlineStr">
        <is>
          <t>CA Dept of Insurance - Flood Insurance Resources</t>
        </is>
      </c>
      <c r="B32" s="41" t="inlineStr">
        <is>
          <t>Regulator / government</t>
        </is>
      </c>
      <c r="C32" s="42" t="inlineStr">
        <is>
          <t>https://www.insurance.ca.gov/01-consumers/140-catastrophes/FloodFacts.cfm</t>
        </is>
      </c>
      <c r="D32" s="41" t="inlineStr">
        <is>
          <t>Regulator page; says CDI does not regulate the NFIP.</t>
        </is>
      </c>
      <c r="E32" s="43" t="n">
        <v>46295</v>
      </c>
    </row>
    <row r="33" ht="15" customHeight="1" s="29">
      <c r="A33" s="41" t="inlineStr">
        <is>
          <t>CA Dept of Insurance - Homeowners Insurance flyer (Dec 2024)</t>
        </is>
      </c>
      <c r="B33" s="41" t="inlineStr">
        <is>
          <t>Regulator / government</t>
        </is>
      </c>
      <c r="C33" s="42" t="inlineStr">
        <is>
          <t>https://www.insurance.ca.gov/01-consumers/105-type/95-guides/upload/Homeowners-Insurance-Updated-121924.pdf</t>
        </is>
      </c>
      <c r="D33" s="41" t="inlineStr">
        <is>
          <t>Regulator flyer; primary source.</t>
        </is>
      </c>
      <c r="E33" s="43" t="n">
        <v>46295</v>
      </c>
    </row>
    <row r="34" ht="23.85" customHeight="1" s="29">
      <c r="A34" s="41" t="inlineStr">
        <is>
          <t>CA Dept of Insurance - Introduction to Auto Insurance (Form 101, rev. Feb 5, 2025)</t>
        </is>
      </c>
      <c r="B34" s="41" t="inlineStr">
        <is>
          <t>Regulator / government</t>
        </is>
      </c>
      <c r="C34" s="42" t="inlineStr">
        <is>
          <t>https://www.insurance.ca.gov/01-consumers/105-type/95-guides/01-auto/auto101.cfm</t>
        </is>
      </c>
      <c r="D34" s="41" t="inlineStr">
        <is>
          <t>Regulator consumer guide; primary source. Its $35,000 deposit/bond figure conflicts with DMV's $75,000.</t>
        </is>
      </c>
      <c r="E34" s="43" t="n">
        <v>46295</v>
      </c>
    </row>
    <row r="35" ht="15" customHeight="1" s="29">
      <c r="A35" s="41" t="inlineStr">
        <is>
          <t>CA Dept of Insurance - Low Cost Auto consumer alert (Jul 23, 2024)</t>
        </is>
      </c>
      <c r="B35" s="41" t="inlineStr">
        <is>
          <t>Regulator / government</t>
        </is>
      </c>
      <c r="C35" s="42" t="inlineStr">
        <is>
          <t>https://www.insurance.ca.gov/0400-news/0102-alerts/2024/California-s-Low-Cost-Auto-Insurance.cfm</t>
        </is>
      </c>
      <c r="D35" s="41" t="inlineStr">
        <is>
          <t>Confirms SB 1107 limit increase beginning 2025; CLCA limits unchanged.</t>
        </is>
      </c>
      <c r="E35" s="43" t="n">
        <v>46295</v>
      </c>
    </row>
    <row r="36" ht="23.85" customHeight="1" s="29">
      <c r="A36" s="41" t="inlineStr">
        <is>
          <t>CA Dept of Insurance - Residential Insurance: Homeowners and Renters (Form 401, rev. Jan 2026)</t>
        </is>
      </c>
      <c r="B36" s="41" t="inlineStr">
        <is>
          <t>Regulator / government</t>
        </is>
      </c>
      <c r="C36" s="42" t="inlineStr">
        <is>
          <t>https://www.insurance.ca.gov/01-consumers/105-type/95-guides/03-res/res-ins-guide.cfm</t>
        </is>
      </c>
      <c r="D36" s="41" t="inlineStr">
        <is>
          <t>Regulator consumer guide; primary source.</t>
        </is>
      </c>
      <c r="E36" s="43" t="n">
        <v>46295</v>
      </c>
    </row>
    <row r="37" ht="15" customHeight="1" s="29">
      <c r="A37" s="41" t="inlineStr">
        <is>
          <t>CA Dept of Insurance - Safer from Wildfires</t>
        </is>
      </c>
      <c r="B37" s="41" t="inlineStr">
        <is>
          <t>Regulator / government</t>
        </is>
      </c>
      <c r="C37" s="42" t="inlineStr">
        <is>
          <t>https://www.insurance.ca.gov/01-consumers/200-wrr/Safer-from-Wildfires.cfm</t>
        </is>
      </c>
      <c r="D37" s="41" t="inlineStr">
        <is>
          <t>Regulator page; links to the full regulation text.</t>
        </is>
      </c>
      <c r="E37" s="43" t="n">
        <v>46295</v>
      </c>
    </row>
    <row r="38" ht="15" customHeight="1" s="29">
      <c r="A38" s="41" t="inlineStr">
        <is>
          <t>CA Dept of Insurance - Sustainable Insurance Strategy updates</t>
        </is>
      </c>
      <c r="B38" s="41" t="inlineStr">
        <is>
          <t>Regulator / government</t>
        </is>
      </c>
      <c r="C38" s="42" t="inlineStr">
        <is>
          <t>https://www.insurance.ca.gov/01-consumers/180-climate-change/SustainableInsuranceStrategy.cfm</t>
        </is>
      </c>
      <c r="D38" s="41" t="inlineStr">
        <is>
          <t>Regulator page on the 85 percent commitment.</t>
        </is>
      </c>
      <c r="E38" s="43" t="n">
        <v>46295</v>
      </c>
    </row>
    <row r="39" ht="15" customHeight="1" s="29">
      <c r="A39" s="41" t="inlineStr">
        <is>
          <t>CA Insurance Code section 10083 - Earthquake offer timing (Justia)</t>
        </is>
      </c>
      <c r="B39" s="41" t="inlineStr">
        <is>
          <t>Regulator / government</t>
        </is>
      </c>
      <c r="C39" s="42" t="inlineStr">
        <is>
          <t>https://law.justia.com/codes/california/code-ins/division-2/part-1/chapter-8-5/section-10083/</t>
        </is>
      </c>
      <c r="D39" s="41" t="inlineStr">
        <is>
          <t>Statute text via Justia.</t>
        </is>
      </c>
      <c r="E39" s="43" t="n">
        <v>46295</v>
      </c>
    </row>
    <row r="40" ht="23.85" customHeight="1" s="29">
      <c r="A40" s="41" t="inlineStr">
        <is>
          <t>CA Insurance Code section 11628.3 - Mature driver (text via FindLaw)</t>
        </is>
      </c>
      <c r="B40" s="41" t="inlineStr">
        <is>
          <t>Regulator / government</t>
        </is>
      </c>
      <c r="C40" s="42" t="inlineStr">
        <is>
          <t>https://codes.findlaw.com/ca/insurance-code/ins-sect-11628-3/</t>
        </is>
      </c>
      <c r="D40" s="41" t="inlineStr">
        <is>
          <t>FindLaw warns text may not reflect the latest law; verify on leginfo.legislature.ca.gov.</t>
        </is>
      </c>
      <c r="E40" s="43" t="n">
        <v>46295</v>
      </c>
    </row>
    <row r="41" ht="23.85" customHeight="1" s="29">
      <c r="A41" s="41" t="inlineStr">
        <is>
          <t>CA Insurance Code section 1861.025 - Good Driver Discount eligibility (Justia)</t>
        </is>
      </c>
      <c r="B41" s="41" t="inlineStr">
        <is>
          <t>Regulator / government</t>
        </is>
      </c>
      <c r="C41" s="42" t="inlineStr">
        <is>
          <t>https://law.justia.com/codes/california/code-ins/division-1/part-2/chapter-9/article-10/section-1861-025/</t>
        </is>
      </c>
      <c r="D41" s="41" t="inlineStr">
        <is>
          <t>Statute text via Justia; snippet showed subdivisions (a) and (b) only.</t>
        </is>
      </c>
      <c r="E41" s="43" t="n">
        <v>46295</v>
      </c>
    </row>
    <row r="42" ht="15" customHeight="1" s="29">
      <c r="A42" s="41" t="inlineStr">
        <is>
          <t>CDI Rate Regulation Advisory Notice 2005-02 (May 2, 2005)</t>
        </is>
      </c>
      <c r="B42" s="41" t="inlineStr">
        <is>
          <t>Regulator / government</t>
        </is>
      </c>
      <c r="C42" s="42" t="inlineStr">
        <is>
          <t>https://www.insurance.ca.gov/0250-insurers/0300-insurers/0200-bulletins/bulletin-notices-commiss-opinion/upload/Advisory-Notice-2005-02.pdf</t>
        </is>
      </c>
      <c r="D42" s="41" t="inlineStr">
        <is>
          <t>Old notice; confirm it has not been superseded.</t>
        </is>
      </c>
      <c r="E42" s="43" t="n">
        <v>46295</v>
      </c>
    </row>
    <row r="43" ht="23.85" customHeight="1" s="29">
      <c r="A43" s="41" t="inlineStr">
        <is>
          <t>CDI press release - New laws take effect January 1, 2026 (Dec 30, 2025)</t>
        </is>
      </c>
      <c r="B43" s="41" t="inlineStr">
        <is>
          <t>Regulator / government</t>
        </is>
      </c>
      <c r="C43" s="42" t="inlineStr">
        <is>
          <t>https://www.insurance.ca.gov/0400-news/0100-press-releases/2025/release079-2025.cfm</t>
        </is>
      </c>
      <c r="D43" s="41" t="inlineStr">
        <is>
          <t>Regulator press release; describes AB 1, AB 226, AB 888, SB 429, SB 495, SB 547.</t>
        </is>
      </c>
      <c r="E43" s="43" t="n">
        <v>46295</v>
      </c>
    </row>
    <row r="44" ht="15" customHeight="1" s="29">
      <c r="A44" s="41" t="inlineStr">
        <is>
          <t>CDI press release 089-19 - FAIR Plan coverage options</t>
        </is>
      </c>
      <c r="B44" s="41" t="inlineStr">
        <is>
          <t>Regulator / government</t>
        </is>
      </c>
      <c r="C44" s="42" t="inlineStr">
        <is>
          <t>https://www.insurance.ca.gov/0400-news/0100-press-releases/2019/release089-19.cfm</t>
        </is>
      </c>
      <c r="D44" s="41" t="inlineStr">
        <is>
          <t>Announced $3 million dwelling limit effective Apr 1, 2020.</t>
        </is>
      </c>
      <c r="E44" s="43" t="n">
        <v>46295</v>
      </c>
    </row>
    <row r="45" ht="23.85" customHeight="1" s="29">
      <c r="A45" s="41" t="inlineStr">
        <is>
          <t>CRS - Overview of Continuing Appropriations for FY2027 (P.L. 119-103, Div. A)</t>
        </is>
      </c>
      <c r="B45" s="41" t="inlineStr">
        <is>
          <t>Regulator / government</t>
        </is>
      </c>
      <c r="C45" s="42" t="inlineStr">
        <is>
          <t>https://www.congress.gov/crs-product/R49353</t>
        </is>
      </c>
      <c r="D45" s="41" t="inlineStr">
        <is>
          <t>Section 139 extends the NFIP; CR runs through Dec 11, 2026.</t>
        </is>
      </c>
      <c r="E45" s="43" t="n">
        <v>46295</v>
      </c>
    </row>
    <row r="46" ht="15" customHeight="1" s="29">
      <c r="A46" s="41" t="inlineStr">
        <is>
          <t>CRS Insight - What Happens If the NFIP Lapses?</t>
        </is>
      </c>
      <c r="B46" s="41" t="inlineStr">
        <is>
          <t>Regulator / government</t>
        </is>
      </c>
      <c r="C46" s="42" t="inlineStr">
        <is>
          <t>https://www.congress.gov/crs-product/IN10835</t>
        </is>
      </c>
      <c r="D46" s="41" t="inlineStr">
        <is>
          <t>States NFIP currently authorized until Dec 11, 2026.</t>
        </is>
      </c>
      <c r="E46" s="43" t="n">
        <v>46295</v>
      </c>
    </row>
    <row r="47" ht="15" customHeight="1" s="29">
      <c r="A47" s="41" t="inlineStr">
        <is>
          <t>California Earthquake Authority - Homeowners policies</t>
        </is>
      </c>
      <c r="B47" s="41" t="inlineStr">
        <is>
          <t>Regulator / government</t>
        </is>
      </c>
      <c r="C47" s="42" t="inlineStr">
        <is>
          <t>https://www.earthquakeauthority.com/california-earthquake-insurance-policies/homeowners</t>
        </is>
      </c>
      <c r="D47" s="41" t="inlineStr">
        <is>
          <t>Publicly managed entity; primary source for CEA terms.</t>
        </is>
      </c>
      <c r="E47" s="43" t="n">
        <v>46295</v>
      </c>
    </row>
    <row r="48" ht="15" customHeight="1" s="29">
      <c r="A48" s="41" t="inlineStr">
        <is>
          <t>Florida DFS - Florida's Hurricane Deductible</t>
        </is>
      </c>
      <c r="B48" s="41" t="inlineStr">
        <is>
          <t>Regulator / government</t>
        </is>
      </c>
      <c r="C48" s="42" t="inlineStr">
        <is>
          <t>https://www.myfloridacfo.com/division/consumers/consumerprotections/floridashurricanedeductible</t>
        </is>
      </c>
      <c r="D48" s="41" t="inlineStr">
        <is>
          <t>Regulator consumer page.</t>
        </is>
      </c>
      <c r="E48" s="43" t="n">
        <v>46295</v>
      </c>
    </row>
    <row r="49" ht="15" customHeight="1" s="29">
      <c r="A49" s="41" t="inlineStr">
        <is>
          <t>Florida DHSMV - Florida Insurance Requirements</t>
        </is>
      </c>
      <c r="B49" s="41" t="inlineStr">
        <is>
          <t>Regulator / government</t>
        </is>
      </c>
      <c r="C49" s="42" t="inlineStr">
        <is>
          <t>https://www.flhsmv.gov/insurance/</t>
        </is>
      </c>
      <c r="D49" s="41" t="inlineStr">
        <is>
          <t>Agency page; primary source.</t>
        </is>
      </c>
      <c r="E49" s="43" t="n">
        <v>46295</v>
      </c>
    </row>
    <row r="50" ht="15" customHeight="1" s="29">
      <c r="A50" s="41" t="inlineStr">
        <is>
          <t>Florida Statutes 626.9741 - Credit reports and scores by insurers</t>
        </is>
      </c>
      <c r="B50" s="41" t="inlineStr">
        <is>
          <t>Regulator / government</t>
        </is>
      </c>
      <c r="C50" s="42" t="inlineStr">
        <is>
          <t>https://www.flsenate.gov/Laws/Statutes/2025/0626.9741</t>
        </is>
      </c>
      <c r="D50" s="41" t="inlineStr">
        <is>
          <t>Snippets only; fetch was rate-limited. Confirm full text.</t>
        </is>
      </c>
      <c r="E50" s="43" t="n">
        <v>46295</v>
      </c>
    </row>
    <row r="51" ht="23.85" customHeight="1" s="29">
      <c r="A51" s="41" t="inlineStr">
        <is>
          <t>Florida Statutes 627.06501 - Driver improvement course discount (2003 text)</t>
        </is>
      </c>
      <c r="B51" s="41" t="inlineStr">
        <is>
          <t>Regulator / government</t>
        </is>
      </c>
      <c r="C51" s="42" t="inlineStr">
        <is>
          <t>https://flsenate.gov/Laws/Statutes/2003/627.06501</t>
        </is>
      </c>
      <c r="D51" s="41" t="inlineStr">
        <is>
          <t>Old year; confirm current text.</t>
        </is>
      </c>
      <c r="E51" s="43" t="n">
        <v>46295</v>
      </c>
    </row>
    <row r="52" ht="15" customHeight="1" s="29">
      <c r="A52" s="41" t="inlineStr">
        <is>
          <t>Florida Statutes 627.0652 - Safety course discount (2012 text)</t>
        </is>
      </c>
      <c r="B52" s="41" t="inlineStr">
        <is>
          <t>Regulator / government</t>
        </is>
      </c>
      <c r="C52" s="42" t="inlineStr">
        <is>
          <t>https://www.flsenate.gov/laws/statutes/2012/627.0652</t>
        </is>
      </c>
      <c r="D52" s="41" t="inlineStr">
        <is>
          <t>Old year; confirm current text.</t>
        </is>
      </c>
      <c r="E52" s="43" t="n">
        <v>46295</v>
      </c>
    </row>
    <row r="53" ht="15" customHeight="1" s="29">
      <c r="A53" s="41" t="inlineStr">
        <is>
          <t>Florida Statutes 627.701 - deductibles (via FindLaw)</t>
        </is>
      </c>
      <c r="B53" s="41" t="inlineStr">
        <is>
          <t>Regulator / government</t>
        </is>
      </c>
      <c r="C53" s="42" t="inlineStr">
        <is>
          <t>https://codes.findlaw.com/fl/title-xxxvii-insurance/fl-st-sect-627-701/</t>
        </is>
      </c>
      <c r="D53" s="41" t="inlineStr">
        <is>
          <t>Statute text via FindLaw; snippets only.</t>
        </is>
      </c>
      <c r="E53" s="43" t="n">
        <v>46295</v>
      </c>
    </row>
    <row r="54" ht="23.85" customHeight="1" s="29">
      <c r="A54" s="41" t="inlineStr">
        <is>
          <t>Florida Statutes 627.728 - Cancellations; nonrenewals (2025, via Justia)</t>
        </is>
      </c>
      <c r="B54" s="41" t="inlineStr">
        <is>
          <t>Regulator / government</t>
        </is>
      </c>
      <c r="C54" s="42" t="inlineStr">
        <is>
          <t>https://law.justia.com/codes/florida/title-xxxvii/chapter-627/part-xi/section-627-728/</t>
        </is>
      </c>
      <c r="D54" s="41" t="inlineStr">
        <is>
          <t>Statute text via Justia.</t>
        </is>
      </c>
      <c r="E54" s="43" t="n">
        <v>46295</v>
      </c>
    </row>
    <row r="55" ht="15" customHeight="1" s="29">
      <c r="A55" s="41" t="inlineStr">
        <is>
          <t>Florida Statutes Chapter 324 - Financial Responsibility (2022 text)</t>
        </is>
      </c>
      <c r="B55" s="41" t="inlineStr">
        <is>
          <t>Regulator / government</t>
        </is>
      </c>
      <c r="C55" s="42" t="inlineStr">
        <is>
          <t>https://www.flsenate.gov/Laws/Statutes/2022/Chapter324/All</t>
        </is>
      </c>
      <c r="D55" s="41" t="inlineStr">
        <is>
          <t>Older year of the statute; confirm current text.</t>
        </is>
      </c>
      <c r="E55" s="43" t="n">
        <v>46295</v>
      </c>
    </row>
    <row r="56" ht="15" customHeight="1" s="29">
      <c r="A56" s="41" t="inlineStr">
        <is>
          <t>Florida Statutes Chapter 627 (2025) - table of contents</t>
        </is>
      </c>
      <c r="B56" s="41" t="inlineStr">
        <is>
          <t>Regulator / government</t>
        </is>
      </c>
      <c r="C56" s="42" t="inlineStr">
        <is>
          <t>https://www.flsenate.gov/Laws/Statutes/2025/Chapter627/All</t>
        </is>
      </c>
      <c r="D56" s="41" t="inlineStr">
        <is>
          <t>Confirms sections 627.0651-627.0653 and 627.06501 exist.</t>
        </is>
      </c>
      <c r="E56" s="43" t="n">
        <v>46295</v>
      </c>
    </row>
    <row r="57" ht="15" customHeight="1" s="29">
      <c r="A57" s="41" t="inlineStr">
        <is>
          <t>NAIC Consumer Shopping Tool for Auto Insurance</t>
        </is>
      </c>
      <c r="B57" s="41" t="inlineStr">
        <is>
          <t>Regulator / government</t>
        </is>
      </c>
      <c r="C57" s="42" t="inlineStr">
        <is>
          <t>https://content.naic.org/sites/default/files/consumer-auto-shopping-tool.pdf</t>
        </is>
      </c>
      <c r="D57" s="41" t="inlineStr">
        <is>
          <t>States there is no such thing as 'full coverage'.</t>
        </is>
      </c>
      <c r="E57" s="43" t="n">
        <v>46295</v>
      </c>
    </row>
    <row r="58" ht="15" customHeight="1" s="29">
      <c r="A58" s="41" t="inlineStr">
        <is>
          <t>NY DFS FAQ - How much auto insurance must I carry?</t>
        </is>
      </c>
      <c r="B58" s="41" t="inlineStr">
        <is>
          <t>Regulator / government</t>
        </is>
      </c>
      <c r="C58" s="42" t="inlineStr">
        <is>
          <t>https://www.dfs.ny.gov/faqs/consumer-auto/how-much-auto-insurance-must-i-carry</t>
        </is>
      </c>
      <c r="D58" s="41" t="inlineStr">
        <is>
          <t>Regulator FAQ.</t>
        </is>
      </c>
      <c r="E58" s="43" t="n">
        <v>46295</v>
      </c>
    </row>
    <row r="59" ht="15" customHeight="1" s="29">
      <c r="A59" s="41" t="inlineStr">
        <is>
          <t>NY Dept of Financial Services - Auto Insurance Discounts</t>
        </is>
      </c>
      <c r="B59" s="41" t="inlineStr">
        <is>
          <t>Regulator / government</t>
        </is>
      </c>
      <c r="C59" s="42" t="inlineStr">
        <is>
          <t>https://www.dfs.ny.gov/consumers/auto_insurance/discounts_list</t>
        </is>
      </c>
      <c r="D59" s="41" t="inlineStr">
        <is>
          <t>Lists statutory discounts all NY insurers must offer.</t>
        </is>
      </c>
      <c r="E59" s="43" t="n">
        <v>46295</v>
      </c>
    </row>
    <row r="60" ht="23.85" customHeight="1" s="29">
      <c r="A60" s="41" t="inlineStr">
        <is>
          <t>NY Dept of Financial Services - Auto Insurance Information for Consumers</t>
        </is>
      </c>
      <c r="B60" s="41" t="inlineStr">
        <is>
          <t>Regulator / government</t>
        </is>
      </c>
      <c r="C60" s="42" t="inlineStr">
        <is>
          <t>https://www.dfs.ny.gov/consumers/auto_insurance/Auto_resource_center</t>
        </is>
      </c>
      <c r="D60" s="41" t="inlineStr">
        <is>
          <t>Regulator consumer guide; primary source.</t>
        </is>
      </c>
      <c r="E60" s="43" t="n">
        <v>46295</v>
      </c>
    </row>
    <row r="61" ht="15" customHeight="1" s="29">
      <c r="A61" s="41" t="inlineStr">
        <is>
          <t>SB 1107 (2021-22) enrolled bill text - Vehicles: insurance (leginfo)</t>
        </is>
      </c>
      <c r="B61" s="41" t="inlineStr">
        <is>
          <t>Regulator / government</t>
        </is>
      </c>
      <c r="C61" s="42" t="inlineStr">
        <is>
          <t>https://leginfo.legislature.ca.gov/faces/billNavClient.xhtml?bill_id=202120220SB1107</t>
        </is>
      </c>
      <c r="D61" s="41" t="inlineStr">
        <is>
          <t>Bill text; confirm the chaptered version and current Vehicle Code 16056.</t>
        </is>
      </c>
      <c r="E61" s="43" t="n">
        <v>46295</v>
      </c>
    </row>
    <row r="62" ht="15" customHeight="1" s="29">
      <c r="A62" s="41" t="inlineStr">
        <is>
          <t>TWIA - Flood insurance requirements</t>
        </is>
      </c>
      <c r="B62" s="41" t="inlineStr">
        <is>
          <t>Regulator / government</t>
        </is>
      </c>
      <c r="C62" s="42" t="inlineStr">
        <is>
          <t>https://www.twia.org/flood-requirement/</t>
        </is>
      </c>
      <c r="D62" s="41" t="inlineStr">
        <is>
          <t>State windstorm association; own rules.</t>
        </is>
      </c>
      <c r="E62" s="43" t="n">
        <v>46295</v>
      </c>
    </row>
    <row r="63" ht="15" customHeight="1" s="29">
      <c r="A63" s="41" t="inlineStr">
        <is>
          <t>Texas Dept of Insurance - Auto insurance guide (CB020)</t>
        </is>
      </c>
      <c r="B63" s="41" t="inlineStr">
        <is>
          <t>Regulator / government</t>
        </is>
      </c>
      <c r="C63" s="42" t="inlineStr">
        <is>
          <t>https://www.tdi.texas.gov/pubs/consumer/cb020.html</t>
        </is>
      </c>
      <c r="D63" s="41" t="inlineStr">
        <is>
          <t>Regulator consumer guide; primary source.</t>
        </is>
      </c>
      <c r="E63" s="43" t="n">
        <v>46295</v>
      </c>
    </row>
    <row r="64" ht="15" customHeight="1" s="29">
      <c r="A64" s="41" t="inlineStr">
        <is>
          <t>Texas Dept of Insurance - Home and property blog</t>
        </is>
      </c>
      <c r="B64" s="41" t="inlineStr">
        <is>
          <t>Regulator / government</t>
        </is>
      </c>
      <c r="C64" s="42" t="inlineStr">
        <is>
          <t>https://tdi.texas.gov/blog/category/home-property.html</t>
        </is>
      </c>
      <c r="D64" s="41" t="inlineStr">
        <is>
          <t>Regulator blog; undated posts.</t>
        </is>
      </c>
      <c r="E64" s="43" t="n">
        <v>46295</v>
      </c>
    </row>
    <row r="65" ht="23.85" customHeight="1" s="29">
      <c r="A65" s="41" t="inlineStr">
        <is>
          <t>Texas Dept of Insurance - Home insurance guide (CB025)</t>
        </is>
      </c>
      <c r="B65" s="41" t="inlineStr">
        <is>
          <t>Regulator / government</t>
        </is>
      </c>
      <c r="C65" s="42" t="inlineStr">
        <is>
          <t>https://www.tdi.texas.gov/pubs/consumer/cb025.html</t>
        </is>
      </c>
      <c r="D65" s="41" t="inlineStr">
        <is>
          <t>Regulator guide; page blocked automated fetch, so text comes from search excerpts.</t>
        </is>
      </c>
      <c r="E65" s="43" t="n">
        <v>46295</v>
      </c>
    </row>
    <row r="66" ht="23.85" customHeight="1" s="29">
      <c r="A66" s="41" t="inlineStr">
        <is>
          <t>Texas Dept of Insurance - Texas homeowners insurance market overview</t>
        </is>
      </c>
      <c r="B66" s="41" t="inlineStr">
        <is>
          <t>Regulator / government</t>
        </is>
      </c>
      <c r="C66" s="42" t="inlineStr">
        <is>
          <t>https://www.tdi.texas.gov/general/texas-homeowners-insurance-market-overview.html</t>
        </is>
      </c>
      <c r="D66" s="41" t="inlineStr">
        <is>
          <t>Regulator page; lists TWIA territory.</t>
        </is>
      </c>
      <c r="E66" s="43" t="n">
        <v>46295</v>
      </c>
    </row>
    <row r="67" ht="15" customHeight="1" s="29">
      <c r="A67" s="41" t="inlineStr">
        <is>
          <t>Aegivra - Texas homeowners insurance guide (Jul 2026)</t>
        </is>
      </c>
      <c r="B67" s="41" t="inlineStr">
        <is>
          <t>Vendor / agency blog</t>
        </is>
      </c>
      <c r="C67" s="42" t="inlineStr">
        <is>
          <t>https://aegivra.com/guides/texas-homeowners-insurance-guide</t>
        </is>
      </c>
      <c r="D67" s="41" t="inlineStr">
        <is>
          <t>Cites TDI June 2026 overview; secondary.</t>
        </is>
      </c>
      <c r="E67" s="43" t="n">
        <v>46295</v>
      </c>
    </row>
    <row r="68" ht="15" customHeight="1" s="29">
      <c r="A68" s="41" t="inlineStr">
        <is>
          <t>Ashmore Law Firm - Car insurance: do you have enough?</t>
        </is>
      </c>
      <c r="B68" s="41" t="inlineStr">
        <is>
          <t>Vendor / agency blog</t>
        </is>
      </c>
      <c r="C68" s="42" t="inlineStr">
        <is>
          <t>https://www.ashmorelaw.com/blog/car-insurance-do-you-have-enough-.cfm</t>
        </is>
      </c>
      <c r="D68" s="41" t="inlineStr">
        <is>
          <t>Law firm blog; says Texas insurers must offer $2,500 PIP.</t>
        </is>
      </c>
      <c r="E68" s="43" t="n">
        <v>46295</v>
      </c>
    </row>
    <row r="69" ht="15" customHeight="1" s="29">
      <c r="A69" s="41" t="inlineStr">
        <is>
          <t>Atesa Risk Advisors - Private flood vs NFIP (Florida)</t>
        </is>
      </c>
      <c r="B69" s="41" t="inlineStr">
        <is>
          <t>Vendor / agency blog</t>
        </is>
      </c>
      <c r="C69" s="42" t="inlineStr">
        <is>
          <t>https://atesariskadvisors.com/blog/florida-private-flood-insurance-vs-nfip-2026</t>
        </is>
      </c>
      <c r="D69" s="41" t="inlineStr">
        <is>
          <t>Agency blog.</t>
        </is>
      </c>
      <c r="E69" s="43" t="n">
        <v>46295</v>
      </c>
    </row>
    <row r="70" ht="15" customHeight="1" s="29">
      <c r="A70" s="41" t="inlineStr">
        <is>
          <t>Beach Insurance LLC - State minimums 2026</t>
        </is>
      </c>
      <c r="B70" s="41" t="inlineStr">
        <is>
          <t>Vendor / agency blog</t>
        </is>
      </c>
      <c r="C70" s="42" t="inlineStr">
        <is>
          <t>https://beachinsurancellc.com/blog/state-minimum-car-insurance-requirements-for-2026-your-essential-guide</t>
        </is>
      </c>
      <c r="D70" s="41" t="inlineStr">
        <is>
          <t>Agency blog; Hawaii change is single-source.</t>
        </is>
      </c>
      <c r="E70" s="43" t="n">
        <v>46295</v>
      </c>
    </row>
    <row r="71" ht="15" customHeight="1" s="29">
      <c r="A71" s="41" t="inlineStr">
        <is>
          <t>CIG Florida - Policy updates for Florida homeowners (Apr 2026)</t>
        </is>
      </c>
      <c r="B71" s="41" t="inlineStr">
        <is>
          <t>Vendor / agency blog</t>
        </is>
      </c>
      <c r="C71" s="42" t="inlineStr">
        <is>
          <t>https://www.cigflorida.com/policy-updates-for-florida-homeowners/</t>
        </is>
      </c>
      <c r="D71" s="41" t="inlineStr">
        <is>
          <t>Carrier/agency blog.</t>
        </is>
      </c>
      <c r="E71" s="43" t="n">
        <v>46295</v>
      </c>
    </row>
    <row r="72" ht="15" customHeight="1" s="29">
      <c r="A72" s="41" t="inlineStr">
        <is>
          <t>Cinco Auto Insurance - Average cost</t>
        </is>
      </c>
      <c r="B72" s="41" t="inlineStr">
        <is>
          <t>Vendor / agency blog</t>
        </is>
      </c>
      <c r="C72" s="42" t="inlineStr">
        <is>
          <t>https://cincoautoinsurance.com/auto-insurance/cost/</t>
        </is>
      </c>
      <c r="D72" s="41" t="inlineStr">
        <is>
          <t>Insurance agency blog; lower reliability.</t>
        </is>
      </c>
      <c r="E72" s="43" t="n">
        <v>46295</v>
      </c>
    </row>
    <row r="73" ht="15" customHeight="1" s="29">
      <c r="A73" s="41" t="inlineStr">
        <is>
          <t>Coverage Classroom - Citizens flood requirement phase-in</t>
        </is>
      </c>
      <c r="B73" s="41" t="inlineStr">
        <is>
          <t>Vendor / agency blog</t>
        </is>
      </c>
      <c r="C73" s="42" t="inlineStr">
        <is>
          <t>https://coverageclassroom.com/learn/citizens-flood-insurance-requirement</t>
        </is>
      </c>
      <c r="D73" s="41" t="inlineStr">
        <is>
          <t>Quotes s. 627.351(6)(aa); market share figures as of Mar 31, 2026.</t>
        </is>
      </c>
      <c r="E73" s="43" t="n">
        <v>46295</v>
      </c>
    </row>
    <row r="74" ht="15" customHeight="1" s="29">
      <c r="A74" s="41" t="inlineStr">
        <is>
          <t>Coverage Classroom - Hurricane insurance in Florida</t>
        </is>
      </c>
      <c r="B74" s="41" t="inlineStr">
        <is>
          <t>Vendor / agency blog</t>
        </is>
      </c>
      <c r="C74" s="42" t="inlineStr">
        <is>
          <t>https://coverageclassroom.com/learn/hurricane-insurance-florida-guide</t>
        </is>
      </c>
      <c r="D74" s="41" t="inlineStr">
        <is>
          <t>Educational site quoting statutes and an OIR July 2026 report.</t>
        </is>
      </c>
      <c r="E74" s="43" t="n">
        <v>46295</v>
      </c>
    </row>
    <row r="75" ht="15" customHeight="1" s="29">
      <c r="A75" s="41" t="inlineStr">
        <is>
          <t>Coverage Criteria - Minimum auto insurance by state (Feb 2026)</t>
        </is>
      </c>
      <c r="B75" s="41" t="inlineStr">
        <is>
          <t>Vendor / agency blog</t>
        </is>
      </c>
      <c r="C75" s="42" t="inlineStr">
        <is>
          <t>https://coveragecriteria.com/articles/minimum-auto-insurance-by-state</t>
        </is>
      </c>
      <c r="D75" s="41" t="inlineStr">
        <is>
          <t>Internally inconsistent on Virginia.</t>
        </is>
      </c>
      <c r="E75" s="43" t="n">
        <v>46295</v>
      </c>
    </row>
    <row r="76" ht="15" customHeight="1" s="29">
      <c r="A76" s="41" t="inlineStr">
        <is>
          <t>EarthquakeNearMe - CA earthquake insurance cost</t>
        </is>
      </c>
      <c r="B76" s="41" t="inlineStr">
        <is>
          <t>Vendor / agency blog</t>
        </is>
      </c>
      <c r="C76" s="42" t="inlineStr">
        <is>
          <t>https://www.earthquakenearme.com/en/blog/earthquake-insurance-california</t>
        </is>
      </c>
      <c r="D76" s="41" t="inlineStr">
        <is>
          <t>Premium range and take-up rate; low reliability.</t>
        </is>
      </c>
      <c r="E76" s="43" t="n">
        <v>46295</v>
      </c>
    </row>
    <row r="77" ht="15" customHeight="1" s="29">
      <c r="A77" s="41" t="inlineStr">
        <is>
          <t>Express Financial - Earthquake insurance in California</t>
        </is>
      </c>
      <c r="B77" s="41" t="inlineStr">
        <is>
          <t>Vendor / agency blog</t>
        </is>
      </c>
      <c r="C77" s="42" t="inlineStr">
        <is>
          <t>https://expressfinancial.net/p/earthquake-insurance-california</t>
        </is>
      </c>
      <c r="D77" s="41" t="inlineStr">
        <is>
          <t>Agency blog; mentions CA offer/re-offer law.</t>
        </is>
      </c>
      <c r="E77" s="43" t="n">
        <v>46295</v>
      </c>
    </row>
    <row r="78" ht="23.85" customHeight="1" s="29">
      <c r="A78" s="41" t="inlineStr">
        <is>
          <t>InsurTool - Average car insurance cost 2026</t>
        </is>
      </c>
      <c r="B78" s="41" t="inlineStr">
        <is>
          <t>Vendor / agency blog</t>
        </is>
      </c>
      <c r="C78" s="42" t="inlineStr">
        <is>
          <t>https://insurtool.com/tools/average-car-insurance-cost/</t>
        </is>
      </c>
      <c r="D78" s="41" t="inlineStr">
        <is>
          <t>Baseline: 35-yr-old, clean record, 12k miles, 100/300/100 with $500 deductibles. Methodology not independently verified.</t>
        </is>
      </c>
      <c r="E78" s="43" t="n">
        <v>46295</v>
      </c>
    </row>
    <row r="79" ht="15" customHeight="1" s="29">
      <c r="A79" s="41" t="inlineStr">
        <is>
          <t>Insurance Geek - Minimum limits by state (Apr 2026)</t>
        </is>
      </c>
      <c r="B79" s="41" t="inlineStr">
        <is>
          <t>Vendor / agency blog</t>
        </is>
      </c>
      <c r="C79" s="42" t="inlineStr">
        <is>
          <t>https://www.insurancegeek.com/auto-insurance/state-minimum-car-insurance-limits/</t>
        </is>
      </c>
      <c r="D79" s="41" t="n"/>
      <c r="E79" s="43" t="n">
        <v>46295</v>
      </c>
    </row>
    <row r="80" ht="15" customHeight="1" s="29">
      <c r="A80" s="41" t="inlineStr">
        <is>
          <t>InsureLeads - TCPA/one-to-one status 2026</t>
        </is>
      </c>
      <c r="B80" s="41" t="inlineStr">
        <is>
          <t>Vendor / agency blog</t>
        </is>
      </c>
      <c r="C80" s="42" t="inlineStr">
        <is>
          <t>https://www.getinsureleads.com/blog/fcc-one-to-one-consent-rule-status-update-2026</t>
        </is>
      </c>
      <c r="D80" s="41" t="inlineStr">
        <is>
          <t>Lead-gen vendor.</t>
        </is>
      </c>
      <c r="E80" s="43" t="n">
        <v>46295</v>
      </c>
    </row>
    <row r="81" ht="15" customHeight="1" s="29">
      <c r="A81" s="41" t="inlineStr">
        <is>
          <t>InsureMojo - Telematics discount programs compared</t>
        </is>
      </c>
      <c r="B81" s="41" t="inlineStr">
        <is>
          <t>Vendor / agency blog</t>
        </is>
      </c>
      <c r="C81" s="42" t="inlineStr">
        <is>
          <t>https://www.insuremojo.com/telematics-insurance-discount-programs/</t>
        </is>
      </c>
      <c r="D81" s="41" t="n"/>
      <c r="E81" s="43" t="n">
        <v>46295</v>
      </c>
    </row>
    <row r="82" ht="15" customHeight="1" s="29">
      <c r="A82" s="41" t="inlineStr">
        <is>
          <t>InsureMojo - Telematics privacy bills 2026</t>
        </is>
      </c>
      <c r="B82" s="41" t="inlineStr">
        <is>
          <t>Vendor / agency blog</t>
        </is>
      </c>
      <c r="C82" s="42" t="inlineStr">
        <is>
          <t>https://www.insuremojo.com/telematics-insurance-data-privacy-bills-2026/</t>
        </is>
      </c>
      <c r="D82" s="41" t="n"/>
      <c r="E82" s="43" t="n">
        <v>46295</v>
      </c>
    </row>
    <row r="83" ht="15" customHeight="1" s="29">
      <c r="A83" s="41" t="inlineStr">
        <is>
          <t>InsuredBetter / Trusted Choice - Car insurance cost 2026</t>
        </is>
      </c>
      <c r="B83" s="41" t="inlineStr">
        <is>
          <t>Vendor / agency blog</t>
        </is>
      </c>
      <c r="C83" s="42" t="inlineStr">
        <is>
          <t>https://www.insuredbetter.com/car-insurance/compare-auto-coverage/rate-cost/</t>
        </is>
      </c>
      <c r="D83" s="41" t="n"/>
      <c r="E83" s="43" t="n">
        <v>46295</v>
      </c>
    </row>
    <row r="84" ht="15" customHeight="1" s="29">
      <c r="A84" s="41" t="inlineStr">
        <is>
          <t>Latent Insurance - TWIA coverage, limits and cost (Aug 2026)</t>
        </is>
      </c>
      <c r="B84" s="41" t="inlineStr">
        <is>
          <t>Vendor / agency blog</t>
        </is>
      </c>
      <c r="C84" s="42" t="inlineStr">
        <is>
          <t>https://www.latentinsure.com/texas-homeowners-insurance/twia</t>
        </is>
      </c>
      <c r="D84" s="41" t="inlineStr">
        <is>
          <t>Agency blog; cites TDI Order 2025-9540.</t>
        </is>
      </c>
      <c r="E84" s="43" t="n">
        <v>46295</v>
      </c>
    </row>
    <row r="85" ht="15" customHeight="1" s="29">
      <c r="A85" s="41" t="inlineStr">
        <is>
          <t>Lead Distro AI - One-to-one consent 2026</t>
        </is>
      </c>
      <c r="B85" s="41" t="inlineStr">
        <is>
          <t>Vendor / agency blog</t>
        </is>
      </c>
      <c r="C85" s="42" t="inlineStr">
        <is>
          <t>https://www.leaddistro.ai/blog/one-to-one-consent</t>
        </is>
      </c>
      <c r="D85" s="41" t="inlineStr">
        <is>
          <t>Reports rule vacated Jan 24, 2025.</t>
        </is>
      </c>
      <c r="E85" s="43" t="n">
        <v>46295</v>
      </c>
    </row>
    <row r="86" ht="15" customHeight="1" s="29">
      <c r="A86" s="41" t="inlineStr">
        <is>
          <t>Lenders Network - Flood insurance mortgage requirements 2026</t>
        </is>
      </c>
      <c r="B86" s="41" t="inlineStr">
        <is>
          <t>Vendor / agency blog</t>
        </is>
      </c>
      <c r="C86" s="42" t="inlineStr">
        <is>
          <t>https://thelendersnetwork.com/flood-insurance-mortgage-requirements/</t>
        </is>
      </c>
      <c r="D86" s="41" t="n"/>
      <c r="E86" s="43" t="n">
        <v>46295</v>
      </c>
    </row>
    <row r="87" ht="15" customHeight="1" s="29">
      <c r="A87" s="41" t="inlineStr">
        <is>
          <t>Meilynx - NAIC AI Model Bulletin explained</t>
        </is>
      </c>
      <c r="B87" s="41" t="inlineStr">
        <is>
          <t>Vendor / agency blog</t>
        </is>
      </c>
      <c r="C87" s="42" t="inlineStr">
        <is>
          <t>https://www.meilynx.com/reference/naic-ai-model-bulletin</t>
        </is>
      </c>
      <c r="D87" s="41" t="inlineStr">
        <is>
          <t>Includes Colorado Reg 10-1-1 dates.</t>
        </is>
      </c>
      <c r="E87" s="43" t="n">
        <v>46295</v>
      </c>
    </row>
    <row r="88" ht="15" customHeight="1" s="29">
      <c r="A88" s="41" t="inlineStr">
        <is>
          <t>QuoteYeti - Telematics tradeoffs</t>
        </is>
      </c>
      <c r="B88" s="41" t="inlineStr">
        <is>
          <t>Vendor / agency blog</t>
        </is>
      </c>
      <c r="C88" s="42" t="inlineStr">
        <is>
          <t>https://www.quoteyeti.com/blog/telematics-tradeoffs/</t>
        </is>
      </c>
      <c r="D88" s="41" t="n"/>
      <c r="E88" s="43" t="n">
        <v>46295</v>
      </c>
    </row>
    <row r="89" ht="15" customHeight="1" s="29">
      <c r="A89" s="41" t="inlineStr">
        <is>
          <t>Real Cost Report - Umbrella insurance cost 2026</t>
        </is>
      </c>
      <c r="B89" s="41" t="inlineStr">
        <is>
          <t>Vendor / agency blog</t>
        </is>
      </c>
      <c r="C89" s="42" t="inlineStr">
        <is>
          <t>https://www.realcostreport.com/insurance/home-insurance/umbrella-insurance-cost/</t>
        </is>
      </c>
      <c r="D89" s="41" t="inlineStr">
        <is>
          <t>Cites III/IRMI; treat as directional.</t>
        </is>
      </c>
      <c r="E89" s="43" t="n">
        <v>46295</v>
      </c>
    </row>
    <row r="90" ht="15" customHeight="1" s="29">
      <c r="A90" s="41" t="inlineStr">
        <is>
          <t>SafeDriver.com - Defensive driving discount 2026</t>
        </is>
      </c>
      <c r="B90" s="41" t="inlineStr">
        <is>
          <t>Vendor / agency blog</t>
        </is>
      </c>
      <c r="C90" s="42" t="inlineStr">
        <is>
          <t>https://www.safedriver.com/news/defensive-driving-for-insurance-discount-2026-how-much-you-can-really-save</t>
        </is>
      </c>
      <c r="D90" s="41" t="inlineStr">
        <is>
          <t>Course provider; commercial interest.</t>
        </is>
      </c>
      <c r="E90" s="43" t="n">
        <v>46295</v>
      </c>
    </row>
    <row r="91" ht="15" customHeight="1" s="29">
      <c r="A91" s="41" t="inlineStr">
        <is>
          <t>Tech Savvy Insurance - States that adopted NAIC AI bulletin</t>
        </is>
      </c>
      <c r="B91" s="41" t="inlineStr">
        <is>
          <t>Vendor / agency blog</t>
        </is>
      </c>
      <c r="C91" s="42" t="inlineStr">
        <is>
          <t>https://techsavvyinsurance.com/answers/which-states-adopted-naic-ai-model-bulletin/</t>
        </is>
      </c>
      <c r="D91" s="41" t="inlineStr">
        <is>
          <t>Cites NAIC map as of Apr 1, 2026.</t>
        </is>
      </c>
      <c r="E91" s="43" t="n">
        <v>46295</v>
      </c>
    </row>
    <row r="92" ht="15" customHeight="1" s="29">
      <c r="A92" s="41" t="inlineStr">
        <is>
          <t>UseCalcPro - Umbrella quote calculator</t>
        </is>
      </c>
      <c r="B92" s="41" t="inlineStr">
        <is>
          <t>Vendor / agency blog</t>
        </is>
      </c>
      <c r="C92" s="42" t="inlineStr">
        <is>
          <t>https://usecalcpro.com/finance/umbrella-insurance-quote-calculator</t>
        </is>
      </c>
      <c r="D92" s="41" t="inlineStr">
        <is>
          <t>Calculator site; low reliability.</t>
        </is>
      </c>
      <c r="E92" s="43" t="n">
        <v>46295</v>
      </c>
    </row>
    <row r="93" ht="15" customHeight="1" s="29">
      <c r="A93" s="41" t="inlineStr">
        <is>
          <t>Viles &amp; Beckman - Did Florida repeal no-fault? (Jul 2026)</t>
        </is>
      </c>
      <c r="B93" s="41" t="inlineStr">
        <is>
          <t>Vendor / agency blog</t>
        </is>
      </c>
      <c r="C93" s="42" t="inlineStr">
        <is>
          <t>https://www.vilesandbeckman.com/blog/did-florida-repeal-no-fault-insurance-the-pip-myths-and-the-facts-for-2026/</t>
        </is>
      </c>
      <c r="D93" s="41" t="inlineStr">
        <is>
          <t>Law firm blog; several firms agree. Verify on flsenate.gov.</t>
        </is>
      </c>
      <c r="E93" s="43" t="n">
        <v>46295</v>
      </c>
    </row>
    <row r="94" ht="15" customHeight="1" s="29">
      <c r="A94" s="41" t="inlineStr">
        <is>
          <t>WalletGrower - Flood insurance 2026</t>
        </is>
      </c>
      <c r="B94" s="41" t="inlineStr">
        <is>
          <t>Vendor / agency blog</t>
        </is>
      </c>
      <c r="C94" s="42" t="inlineStr">
        <is>
          <t>https://walletgrower.com/insurance/homeowners-insurance/flood-insurance</t>
        </is>
      </c>
      <c r="D94" s="41" t="inlineStr">
        <is>
          <t>Contains affiliate links; treat private-vs-NFIP savings claims cautiously.</t>
        </is>
      </c>
      <c r="E94" s="43" t="n">
        <v>46295</v>
      </c>
    </row>
    <row r="95" ht="15" customHeight="1" s="29">
      <c r="A95" s="41" t="inlineStr">
        <is>
          <t>actuary.info - AI regulation in insurance 2026</t>
        </is>
      </c>
      <c r="B95" s="41" t="inlineStr">
        <is>
          <t>Vendor / agency blog</t>
        </is>
      </c>
      <c r="C95" s="42" t="inlineStr">
        <is>
          <t>https://actuary.info/insights/ai-regulation-insurance-naic-2026</t>
        </is>
      </c>
      <c r="D95" s="41" t="inlineStr">
        <is>
          <t>Federal preemption discussion.</t>
        </is>
      </c>
      <c r="E95" s="43" t="n">
        <v>46295</v>
      </c>
    </row>
    <row r="96">
      <c r="A96" s="28" t="inlineStr">
        <is>
          <t>NY Dept of Financial Services - Homeowners Insurance: Basic Coverage and Adding Coverage</t>
        </is>
      </c>
      <c r="B96" s="28" t="inlineStr">
        <is>
          <t>Regulator-published</t>
        </is>
      </c>
      <c r="C96" s="28" t="inlineStr">
        <is>
          <t>https://www.dfs.ny.gov/consumers/help_for_homeowners/insurance/basic_coverage</t>
        </is>
      </c>
      <c r="D96" s="28" t="inlineStr">
        <is>
          <t>NY DFS consumer guide page.</t>
        </is>
      </c>
      <c r="E96" s="48" t="n">
        <v>46296</v>
      </c>
    </row>
    <row r="97">
      <c r="A97" s="28" t="inlineStr">
        <is>
          <t>NY Dept of Financial Services - Homeowners Insurance: Problems Obtaining Insurance (NYPIUA)</t>
        </is>
      </c>
      <c r="B97" s="28" t="inlineStr">
        <is>
          <t>Regulator-published</t>
        </is>
      </c>
      <c r="C97" s="28" t="inlineStr">
        <is>
          <t>https://www.dfs.ny.gov/consumers/help_for_homeowners/insurance/problems_obtaining_insurance</t>
        </is>
      </c>
      <c r="D97" s="28" t="inlineStr">
        <is>
          <t>NY DFS consumer guide page describing NYPIUA, the state residual-market insurer.</t>
        </is>
      </c>
      <c r="E97" s="48" t="n">
        <v>46296</v>
      </c>
    </row>
    <row r="98">
      <c r="A98" s="28" t="inlineStr">
        <is>
          <t>NY Dept of Financial Services - Ways to Save on Homeowners Insurance</t>
        </is>
      </c>
      <c r="B98" s="28" t="inlineStr">
        <is>
          <t>Regulator-published</t>
        </is>
      </c>
      <c r="C98" s="28" t="inlineStr">
        <is>
          <t>https://www.dfs.ny.gov/system/files/documents/2026/02/Ways-to-Save-Homeowners-Insurance.pdf</t>
        </is>
      </c>
      <c r="D98" s="28" t="inlineStr">
        <is>
          <t>NY DFS consumer brochure (PDF).</t>
        </is>
      </c>
      <c r="E98" s="48" t="n">
        <v>46296</v>
      </c>
    </row>
    <row r="99">
      <c r="A99" s="28" t="inlineStr">
        <is>
          <t>NY Dept of Financial Services - Homeowners Insurance: Cancellations and Non-Renewals</t>
        </is>
      </c>
      <c r="B99" s="28" t="inlineStr">
        <is>
          <t>Regulator-published</t>
        </is>
      </c>
      <c r="C99" s="28" t="inlineStr">
        <is>
          <t>https://www.dfs.ny.gov/consumers/help_for_homeowners/insurance/cancellations_and_nonrenewals</t>
        </is>
      </c>
      <c r="D99" s="28" t="inlineStr">
        <is>
          <t>NY DFS consumer guide page; cites 'present law in New York State' and 'the Insurance Law' without a specific section number.</t>
        </is>
      </c>
      <c r="E99" s="48" t="n">
        <v>46296</v>
      </c>
    </row>
    <row r="100">
      <c r="A100" s="28" t="inlineStr">
        <is>
          <t>Illinois Dept of Insurance - Auto Insurance Shopping Guide</t>
        </is>
      </c>
      <c r="B100" s="28" t="inlineStr">
        <is>
          <t>Regulator-published</t>
        </is>
      </c>
      <c r="C100" s="28" t="inlineStr">
        <is>
          <t>https://idoi.illinois.gov/consumers/consumerinsurance/auto-insurance-shopping-guide.html</t>
        </is>
      </c>
      <c r="D100" s="28" t="inlineStr">
        <is>
          <t>IDOI consumer guide page.</t>
        </is>
      </c>
      <c r="E100" s="48" t="n">
        <v>46296</v>
      </c>
    </row>
    <row r="101">
      <c r="A101" s="28" t="inlineStr">
        <is>
          <t>Illinois Dept of Insurance - Credit: How Insurers Use It</t>
        </is>
      </c>
      <c r="B101" s="28" t="inlineStr">
        <is>
          <t>Regulator-published</t>
        </is>
      </c>
      <c r="C101" s="28" t="inlineStr">
        <is>
          <t>https://idoi.illinois.gov/consumers/consumerinsurance/credit.html</t>
        </is>
      </c>
      <c r="D101" s="28" t="inlineStr">
        <is>
          <t>IDOI consumer guide page; cites the Use of Credit Information in Personal Insurance Act (215 ILCS 157) and FACT Act.</t>
        </is>
      </c>
      <c r="E101" s="48" t="n">
        <v>46296</v>
      </c>
    </row>
    <row r="102">
      <c r="A102" s="28" t="inlineStr">
        <is>
          <t>Illinois Dept of Insurance - Homeowner/Renter Shopping Tips and Information</t>
        </is>
      </c>
      <c r="B102" s="28" t="inlineStr">
        <is>
          <t>Regulator-published</t>
        </is>
      </c>
      <c r="C102" s="28" t="inlineStr">
        <is>
          <t>https://idoi.illinois.gov/consumers/consumerinsurance/homeownerrenter/shopping-tips-and-information.html</t>
        </is>
      </c>
      <c r="D102" s="28" t="inlineStr">
        <is>
          <t>IDOI consumer guide page.</t>
        </is>
      </c>
      <c r="E102" s="48" t="n">
        <v>46296</v>
      </c>
    </row>
    <row r="103">
      <c r="A103" s="28" t="inlineStr">
        <is>
          <t>Illinois Dept of Insurance - If Your Homeowners Insurance Policy is Non-Renewed</t>
        </is>
      </c>
      <c r="B103" s="28" t="inlineStr">
        <is>
          <t>Regulator-published</t>
        </is>
      </c>
      <c r="C103" s="28" t="inlineStr">
        <is>
          <t>https://idoi.illinois.gov/consumers/consumerinsurance/homeownerrenter/if-your-homeowners-insurance-policy-is-non-renewed.html</t>
        </is>
      </c>
      <c r="D103" s="28" t="inlineStr">
        <is>
          <t>IDOI consumer guide page; no specific statute citation given.</t>
        </is>
      </c>
      <c r="E103" s="48" t="n">
        <v>46296</v>
      </c>
    </row>
    <row r="104">
      <c r="A104" s="28" t="inlineStr">
        <is>
          <t>Illinois FAIR Plan Association - Important Insurance Information</t>
        </is>
      </c>
      <c r="B104" s="28" t="inlineStr">
        <is>
          <t>Regulator-published</t>
        </is>
      </c>
      <c r="C104" s="28" t="inlineStr">
        <is>
          <t>https://www.illinoisfairplan.com/important-insurance-information.html</t>
        </is>
      </c>
      <c r="D104" s="28" t="inlineStr">
        <is>
          <t>Illinois FAIR Plan Association's own site (carrier-equivalent published terms).</t>
        </is>
      </c>
      <c r="E104" s="48" t="n">
        <v>46296</v>
      </c>
    </row>
    <row r="105">
      <c r="A105" s="28" t="inlineStr">
        <is>
          <t>Illinois FAIR Plan Association - Consumers</t>
        </is>
      </c>
      <c r="B105" s="28" t="inlineStr">
        <is>
          <t>Regulator-published</t>
        </is>
      </c>
      <c r="C105" s="28" t="inlineStr">
        <is>
          <t>https://www.illinoisfairplan.com/consumers.html</t>
        </is>
      </c>
      <c r="D105" s="28" t="inlineStr">
        <is>
          <t>Illinois FAIR Plan Association's own site; explicitly disclaims that the policy and Illinois Insurance Code control over the website.</t>
        </is>
      </c>
      <c r="E105" s="48" t="n">
        <v>46296</v>
      </c>
    </row>
    <row r="106">
      <c r="A106" s="28" t="inlineStr">
        <is>
          <t>Pennsylvania Insurance Department - Automobile Insurance Guide</t>
        </is>
      </c>
      <c r="B106" s="28" t="inlineStr">
        <is>
          <t>Regulator-published</t>
        </is>
      </c>
      <c r="C106" s="28" t="inlineStr">
        <is>
          <t>https://www.pa.gov/content/dam/copapwp-pagov/en/insurance/documents/consumer-help-center/learn-about-insurance/auto-insurance-guide.pdf</t>
        </is>
      </c>
      <c r="D106" s="28" t="inlineStr">
        <is>
          <t>Official PA Insurance Department consumer PDF guide (Rev. 10/2016 v3).</t>
        </is>
      </c>
      <c r="E106" s="48" t="n">
        <v>46296</v>
      </c>
    </row>
    <row r="107">
      <c r="A107" s="28" t="inlineStr">
        <is>
          <t>Pennsylvania Insurance Department - Homeowners Insurance Guide</t>
        </is>
      </c>
      <c r="B107" s="28" t="inlineStr">
        <is>
          <t>Regulator-published</t>
        </is>
      </c>
      <c r="C107" s="28" t="inlineStr">
        <is>
          <t>https://www.pa.gov/content/dam/copapwp-pagov/en/insurance/documents/coverage/homeowners/documents/homeowners%20insurance%20guide.pdf</t>
        </is>
      </c>
      <c r="D107" s="28" t="inlineStr">
        <is>
          <t>Official PA Insurance Department consumer PDF guide (Rev. 4/2017).</t>
        </is>
      </c>
      <c r="E107" s="48" t="n">
        <v>46296</v>
      </c>
    </row>
    <row r="108">
      <c r="A108" s="28" t="inlineStr">
        <is>
          <t>Georgia OCI - Consumer Guide for Automobile Insurance</t>
        </is>
      </c>
      <c r="B108" s="28" t="inlineStr">
        <is>
          <t>Regulator-published</t>
        </is>
      </c>
      <c r="C108" s="28" t="inlineStr">
        <is>
          <t>https://oci.georgia.gov/document/document/guide-auto-insurance/download</t>
        </is>
      </c>
      <c r="D108" s="28" t="inlineStr">
        <is>
          <t>Official Georgia OCI consumer PDF guide.</t>
        </is>
      </c>
      <c r="E108" s="48" t="n">
        <v>46296</v>
      </c>
    </row>
    <row r="109">
      <c r="A109" s="28" t="inlineStr">
        <is>
          <t>Georgia OCI - Consumer Guide for Homeowners Insurance</t>
        </is>
      </c>
      <c r="B109" s="28" t="inlineStr">
        <is>
          <t>Regulator-published</t>
        </is>
      </c>
      <c r="C109" s="28" t="inlineStr">
        <is>
          <t>https://ociapp.oci.ga.gov/Resources/Documents/ConsumerServices/Guide%20for%20Homeowners%20Insurance.pdf</t>
        </is>
      </c>
      <c r="D109" s="28" t="inlineStr">
        <is>
          <t>Official Georgia OCI consumer PDF guide.</t>
        </is>
      </c>
      <c r="E109" s="48" t="n">
        <v>46296</v>
      </c>
    </row>
    <row r="110">
      <c r="A110" s="28" t="inlineStr">
        <is>
          <t>NCDOI - Changes to the Rating of Automobile Insurance Policies</t>
        </is>
      </c>
      <c r="B110" s="28" t="inlineStr">
        <is>
          <t>Regulator-published</t>
        </is>
      </c>
      <c r="C110" s="28" t="inlineStr">
        <is>
          <t>https://www.ncdoi.gov/changes-rating-automobile-insurance-policies-effective-july-1-2025</t>
        </is>
      </c>
      <c r="D110" s="28" t="inlineStr">
        <is>
          <t>Official NCDOI bulletin page.</t>
        </is>
      </c>
      <c r="E110" s="48" t="n">
        <v>46296</v>
      </c>
    </row>
    <row r="111">
      <c r="A111" s="28" t="inlineStr">
        <is>
          <t>NC DMV - Vehicle Insurance Requirements</t>
        </is>
      </c>
      <c r="B111" s="28" t="inlineStr">
        <is>
          <t>Regulator-published</t>
        </is>
      </c>
      <c r="C111" s="28" t="inlineStr">
        <is>
          <t>https://www.ncdot.gov/dmv/title-registration/insurance-requirements/Pages/default.aspx</t>
        </is>
      </c>
      <c r="D111" s="28" t="inlineStr">
        <is>
          <t>Official NCDOT DMV consumer page; cross-confirms NCDOI's numbers.</t>
        </is>
      </c>
      <c r="E111" s="48" t="n">
        <v>46296</v>
      </c>
    </row>
    <row r="112">
      <c r="A112" s="28" t="inlineStr">
        <is>
          <t>NC Joint Underwriting Association / Insurance Underwriting Association (FAIR/Beach Plans)</t>
        </is>
      </c>
      <c r="B112" s="28" t="inlineStr">
        <is>
          <t>Regulator-published</t>
        </is>
      </c>
      <c r="C112" s="28" t="inlineStr">
        <is>
          <t>https://www.ncjua-nciua.org/html/svcs_cov.htm</t>
        </is>
      </c>
      <c r="D112" s="28" t="inlineStr">
        <is>
          <t>Official site of the plans' own administrator.</t>
        </is>
      </c>
      <c r="E112" s="48" t="n">
        <v>46296</v>
      </c>
    </row>
    <row r="113">
      <c r="A113" s="28" t="inlineStr">
        <is>
          <t>Virginia DMV - Insurance Requirements</t>
        </is>
      </c>
      <c r="B113" s="28" t="inlineStr">
        <is>
          <t>Regulator-published</t>
        </is>
      </c>
      <c r="C113" s="28" t="inlineStr">
        <is>
          <t>https://www.dmv.virginia.gov/vehicles/insurance-requirements</t>
        </is>
      </c>
      <c r="D113" s="28" t="inlineStr">
        <is>
          <t>Official Virginia DMV consumer page, read directly.</t>
        </is>
      </c>
      <c r="E113" s="48" t="n">
        <v>46296</v>
      </c>
    </row>
    <row r="114">
      <c r="A114" s="28" t="inlineStr">
        <is>
          <t>Virginia Property Insurance Association (VPIA) - Frequently Asked Questions</t>
        </is>
      </c>
      <c r="B114" s="28" t="inlineStr">
        <is>
          <t>Regulator-published</t>
        </is>
      </c>
      <c r="C114" s="28" t="inlineStr">
        <is>
          <t>https://www.vpia.com/frequently-asked-questions/</t>
        </is>
      </c>
      <c r="D114" s="28" t="inlineStr">
        <is>
          <t>Official site of the plan's own administrator (Virginia's FAIR Plan).</t>
        </is>
      </c>
      <c r="E114" s="48" t="n">
        <v>46296</v>
      </c>
    </row>
  </sheetData>
  <autoFilter ref="A1:E95"/>
  <hyperlinks>
    <hyperlink xmlns:r="http://schemas.openxmlformats.org/officeDocument/2006/relationships" ref="C2" display="https://www.geico.com/save/discounts/defensive-driver-discounts/" r:id="rId1"/>
    <hyperlink xmlns:r="http://schemas.openxmlformats.org/officeDocument/2006/relationships" ref="C3" display="https://www.statefarm.com/insurance/auto/discounts" r:id="rId2"/>
    <hyperlink xmlns:r="http://schemas.openxmlformats.org/officeDocument/2006/relationships" ref="C4" display="https://insurify.com/car-insurance/report/" r:id="rId3"/>
    <hyperlink xmlns:r="http://schemas.openxmlformats.org/officeDocument/2006/relationships" ref="C5" display="https://insurify.com/homeowners-insurance/insights/rates-increase-first-half-2026/" r:id="rId4"/>
    <hyperlink xmlns:r="http://schemas.openxmlformats.org/officeDocument/2006/relationships" ref="C6" display="https://insurify.com/car-insurance/coverage/telematics/" r:id="rId5"/>
    <hyperlink xmlns:r="http://schemas.openxmlformats.org/officeDocument/2006/relationships" ref="C7" display="https://www.thezebra.com/resources/research/car-insurance-rating-factors-by-state/" r:id="rId6"/>
    <hyperlink xmlns:r="http://schemas.openxmlformats.org/officeDocument/2006/relationships" ref="C8" display="https://www.autoinsurance.org/car-insurance-requirements/" r:id="rId7"/>
    <hyperlink xmlns:r="http://schemas.openxmlformats.org/officeDocument/2006/relationships" ref="C9" display="https://www.bankrate.com/insurance/car/are-telematics-programs-worth-the-discount/" r:id="rId8"/>
    <hyperlink xmlns:r="http://schemas.openxmlformats.org/officeDocument/2006/relationships" ref="C10" display="https://www.cnbc.com/2026/04/26/insurance-rates-credit-history.html" r:id="rId9"/>
    <hyperlink xmlns:r="http://schemas.openxmlformats.org/officeDocument/2006/relationships" ref="C11" display="https://www.cnbc.com/select/state-minimum-car-insurance-requirements/" r:id="rId10"/>
    <hyperlink xmlns:r="http://schemas.openxmlformats.org/officeDocument/2006/relationships" ref="C12" display="https://www.carinsurance.com/Articles/minimum-liability-car-insurance-requirements-by-state.aspx" r:id="rId11"/>
    <hyperlink xmlns:r="http://schemas.openxmlformats.org/officeDocument/2006/relationships" ref="C13" display="https://www.experian.com/blogs/ask-experian/average-cost-car-insurance/" r:id="rId12"/>
    <hyperlink xmlns:r="http://schemas.openxmlformats.org/officeDocument/2006/relationships" ref="C14" display="https://www.experian.com/blogs/ask-experian/which-states-prohibit-or-restrict-the-use-of-credit-based-insurance-scores/" r:id="rId13"/>
    <hyperlink xmlns:r="http://schemas.openxmlformats.org/officeDocument/2006/relationships" ref="C15" display="https://www.insurance.com/auto-insurance/car-insurance-discounts.html" r:id="rId14"/>
    <hyperlink xmlns:r="http://schemas.openxmlformats.org/officeDocument/2006/relationships" ref="C16" display="https://insurancenewsnet.com/oarticle/california-fair-plan-rates-going-up-29-1-in-late-2026" r:id="rId15"/>
    <hyperlink xmlns:r="http://schemas.openxmlformats.org/officeDocument/2006/relationships" ref="C17" display="https://www.kqed.org/news/12094860/california-fair-plan-announces-29-1-rate-hike-for-homeowners-this-fall" r:id="rId16"/>
    <hyperlink xmlns:r="http://schemas.openxmlformats.org/officeDocument/2006/relationships" ref="C18" display="https://www.kiplinger.com/personal-finance/insurance/umbrella-insurance/603237/how-much-umbrella-insurance-do-i-need" r:id="rId17"/>
    <hyperlink xmlns:r="http://schemas.openxmlformats.org/officeDocument/2006/relationships" ref="C19" display="https://www.moneygeek.com/insurance/auto/defensive-driver-courses/" r:id="rId18"/>
    <hyperlink xmlns:r="http://schemas.openxmlformats.org/officeDocument/2006/relationships" ref="C20" display="https://www.moneygeek.com/insurance/auto/which-insurance-companies-dont-check-credit-score/" r:id="rId19"/>
    <hyperlink xmlns:r="http://schemas.openxmlformats.org/officeDocument/2006/relationships" ref="C21" display="https://www.nerdwallet.com/insurance/homeowners/learn/average-homeowners-insurance-cost" r:id="rId20"/>
    <hyperlink xmlns:r="http://schemas.openxmlformats.org/officeDocument/2006/relationships" ref="C22" display="https://www.nerdwallet.com/insurance/homeowners/learn/umbrella-insurance" r:id="rId21"/>
    <hyperlink xmlns:r="http://schemas.openxmlformats.org/officeDocument/2006/relationships" ref="C23" display="https://www.newsweek.com/where-your-credit-score-can-cant-raise-insurance-costs-11885672" r:id="rId22"/>
    <hyperlink xmlns:r="http://schemas.openxmlformats.org/officeDocument/2006/relationships" ref="C24" display="https://media.rff.org/documents/WP_25-30.pdf" r:id="rId23"/>
    <hyperlink xmlns:r="http://schemas.openxmlformats.org/officeDocument/2006/relationships" ref="C25" display="https://www.usnews.com/insurance/auto/average-cost-of-car-insurance" r:id="rId24"/>
    <hyperlink xmlns:r="http://schemas.openxmlformats.org/officeDocument/2006/relationships" ref="C26" display="https://uphelp.org/should-states-ban-credit-based-insurance-scoring/" r:id="rId25"/>
    <hyperlink xmlns:r="http://schemas.openxmlformats.org/officeDocument/2006/relationships" ref="C27" display="https://www.valuepenguin.com/state-of-auto-insurance-2026" r:id="rId26"/>
    <hyperlink xmlns:r="http://schemas.openxmlformats.org/officeDocument/2006/relationships" ref="C28" display="https://www.law.cornell.edu/regulations/california/10-CCR-2632.12" r:id="rId27"/>
    <hyperlink xmlns:r="http://schemas.openxmlformats.org/officeDocument/2006/relationships" ref="C29" display="https://www.law.cornell.edu/regulations/california/10-CCR-2632.5" r:id="rId28"/>
    <hyperlink xmlns:r="http://schemas.openxmlformats.org/officeDocument/2006/relationships" ref="C30" display="https://www.dmv.ca.gov/portal/vehicle-registration/insurance-requirements/" r:id="rId29"/>
    <hyperlink xmlns:r="http://schemas.openxmlformats.org/officeDocument/2006/relationships" ref="C31" display="https://www.insurance.ca.gov/01-consumers/105-type/95-guides/03-res/eq-ins.cfm" r:id="rId30"/>
    <hyperlink xmlns:r="http://schemas.openxmlformats.org/officeDocument/2006/relationships" ref="C32" display="https://www.insurance.ca.gov/01-consumers/140-catastrophes/FloodFacts.cfm" r:id="rId31"/>
    <hyperlink xmlns:r="http://schemas.openxmlformats.org/officeDocument/2006/relationships" ref="C33" display="https://www.insurance.ca.gov/01-consumers/105-type/95-guides/upload/Homeowners-Insurance-Updated-121924.pdf" r:id="rId32"/>
    <hyperlink xmlns:r="http://schemas.openxmlformats.org/officeDocument/2006/relationships" ref="C34" display="https://www.insurance.ca.gov/01-consumers/105-type/95-guides/01-auto/auto101.cfm" r:id="rId33"/>
    <hyperlink xmlns:r="http://schemas.openxmlformats.org/officeDocument/2006/relationships" ref="C35" display="https://www.insurance.ca.gov/0400-news/0102-alerts/2024/California-s-Low-Cost-Auto-Insurance.cfm" r:id="rId34"/>
    <hyperlink xmlns:r="http://schemas.openxmlformats.org/officeDocument/2006/relationships" ref="C36" display="https://www.insurance.ca.gov/01-consumers/105-type/95-guides/03-res/res-ins-guide.cfm" r:id="rId35"/>
    <hyperlink xmlns:r="http://schemas.openxmlformats.org/officeDocument/2006/relationships" ref="C37" display="https://www.insurance.ca.gov/01-consumers/200-wrr/Safer-from-Wildfires.cfm" r:id="rId36"/>
    <hyperlink xmlns:r="http://schemas.openxmlformats.org/officeDocument/2006/relationships" ref="C38" display="https://www.insurance.ca.gov/01-consumers/180-climate-change/SustainableInsuranceStrategy.cfm" r:id="rId37"/>
    <hyperlink xmlns:r="http://schemas.openxmlformats.org/officeDocument/2006/relationships" ref="C39" display="https://law.justia.com/codes/california/code-ins/division-2/part-1/chapter-8-5/section-10083/" r:id="rId38"/>
    <hyperlink xmlns:r="http://schemas.openxmlformats.org/officeDocument/2006/relationships" ref="C40" display="https://codes.findlaw.com/ca/insurance-code/ins-sect-11628-3/" r:id="rId39"/>
    <hyperlink xmlns:r="http://schemas.openxmlformats.org/officeDocument/2006/relationships" ref="C41" display="https://law.justia.com/codes/california/code-ins/division-1/part-2/chapter-9/article-10/section-1861-025/" r:id="rId40"/>
    <hyperlink xmlns:r="http://schemas.openxmlformats.org/officeDocument/2006/relationships" ref="C42" display="https://www.insurance.ca.gov/0250-insurers/0300-insurers/0200-bulletins/bulletin-notices-commiss-opinion/upload/Advisory-Notice-2005-02.pdf" r:id="rId41"/>
    <hyperlink xmlns:r="http://schemas.openxmlformats.org/officeDocument/2006/relationships" ref="C43" display="https://www.insurance.ca.gov/0400-news/0100-press-releases/2025/release079-2025.cfm" r:id="rId42"/>
    <hyperlink xmlns:r="http://schemas.openxmlformats.org/officeDocument/2006/relationships" ref="C44" display="https://www.insurance.ca.gov/0400-news/0100-press-releases/2019/release089-19.cfm" r:id="rId43"/>
    <hyperlink xmlns:r="http://schemas.openxmlformats.org/officeDocument/2006/relationships" ref="C45" display="https://www.congress.gov/crs-product/R49353" r:id="rId44"/>
    <hyperlink xmlns:r="http://schemas.openxmlformats.org/officeDocument/2006/relationships" ref="C46" display="https://www.congress.gov/crs-product/IN10835" r:id="rId45"/>
    <hyperlink xmlns:r="http://schemas.openxmlformats.org/officeDocument/2006/relationships" ref="C47" display="https://www.earthquakeauthority.com/california-earthquake-insurance-policies/homeowners" r:id="rId46"/>
    <hyperlink xmlns:r="http://schemas.openxmlformats.org/officeDocument/2006/relationships" ref="C48" display="https://www.myfloridacfo.com/division/consumers/consumerprotections/floridashurricanedeductible" r:id="rId47"/>
    <hyperlink xmlns:r="http://schemas.openxmlformats.org/officeDocument/2006/relationships" ref="C49" display="https://www.flhsmv.gov/insurance/" r:id="rId48"/>
    <hyperlink xmlns:r="http://schemas.openxmlformats.org/officeDocument/2006/relationships" ref="C50" display="https://www.flsenate.gov/Laws/Statutes/2025/0626.9741" r:id="rId49"/>
    <hyperlink xmlns:r="http://schemas.openxmlformats.org/officeDocument/2006/relationships" ref="C51" display="https://flsenate.gov/Laws/Statutes/2003/627.06501" r:id="rId50"/>
    <hyperlink xmlns:r="http://schemas.openxmlformats.org/officeDocument/2006/relationships" ref="C52" display="https://www.flsenate.gov/laws/statutes/2012/627.0652" r:id="rId51"/>
    <hyperlink xmlns:r="http://schemas.openxmlformats.org/officeDocument/2006/relationships" ref="C53" display="https://codes.findlaw.com/fl/title-xxxvii-insurance/fl-st-sect-627-701/" r:id="rId52"/>
    <hyperlink xmlns:r="http://schemas.openxmlformats.org/officeDocument/2006/relationships" ref="C54" display="https://law.justia.com/codes/florida/title-xxxvii/chapter-627/part-xi/section-627-728/" r:id="rId53"/>
    <hyperlink xmlns:r="http://schemas.openxmlformats.org/officeDocument/2006/relationships" ref="C55" display="https://www.flsenate.gov/Laws/Statutes/2022/Chapter324/All" r:id="rId54"/>
    <hyperlink xmlns:r="http://schemas.openxmlformats.org/officeDocument/2006/relationships" ref="C56" display="https://www.flsenate.gov/Laws/Statutes/2025/Chapter627/All" r:id="rId55"/>
    <hyperlink xmlns:r="http://schemas.openxmlformats.org/officeDocument/2006/relationships" ref="C57" display="https://content.naic.org/sites/default/files/consumer-auto-shopping-tool.pdf" r:id="rId56"/>
    <hyperlink xmlns:r="http://schemas.openxmlformats.org/officeDocument/2006/relationships" ref="C58" display="https://www.dfs.ny.gov/faqs/consumer-auto/how-much-auto-insurance-must-i-carry" r:id="rId57"/>
    <hyperlink xmlns:r="http://schemas.openxmlformats.org/officeDocument/2006/relationships" ref="C59" display="https://www.dfs.ny.gov/consumers/auto_insurance/discounts_list" r:id="rId58"/>
    <hyperlink xmlns:r="http://schemas.openxmlformats.org/officeDocument/2006/relationships" ref="C60" display="https://www.dfs.ny.gov/consumers/auto_insurance/Auto_resource_center" r:id="rId59"/>
    <hyperlink xmlns:r="http://schemas.openxmlformats.org/officeDocument/2006/relationships" ref="C61" display="https://leginfo.legislature.ca.gov/faces/billNavClient.xhtml?bill_id=202120220SB1107" r:id="rId60"/>
    <hyperlink xmlns:r="http://schemas.openxmlformats.org/officeDocument/2006/relationships" ref="C62" display="https://www.twia.org/flood-requirement/" r:id="rId61"/>
    <hyperlink xmlns:r="http://schemas.openxmlformats.org/officeDocument/2006/relationships" ref="C63" display="https://www.tdi.texas.gov/pubs/consumer/cb020.html" r:id="rId62"/>
    <hyperlink xmlns:r="http://schemas.openxmlformats.org/officeDocument/2006/relationships" ref="C64" display="https://tdi.texas.gov/blog/category/home-property.html" r:id="rId63"/>
    <hyperlink xmlns:r="http://schemas.openxmlformats.org/officeDocument/2006/relationships" ref="C65" display="https://www.tdi.texas.gov/pubs/consumer/cb025.html" r:id="rId64"/>
    <hyperlink xmlns:r="http://schemas.openxmlformats.org/officeDocument/2006/relationships" ref="C66" display="https://www.tdi.texas.gov/general/texas-homeowners-insurance-market-overview.html" r:id="rId65"/>
    <hyperlink xmlns:r="http://schemas.openxmlformats.org/officeDocument/2006/relationships" ref="C67" display="https://aegivra.com/guides/texas-homeowners-insurance-guide" r:id="rId66"/>
    <hyperlink xmlns:r="http://schemas.openxmlformats.org/officeDocument/2006/relationships" ref="C68" display="https://www.ashmorelaw.com/blog/car-insurance-do-you-have-enough-.cfm" r:id="rId67"/>
    <hyperlink xmlns:r="http://schemas.openxmlformats.org/officeDocument/2006/relationships" ref="C69" display="https://atesariskadvisors.com/blog/florida-private-flood-insurance-vs-nfip-2026" r:id="rId68"/>
    <hyperlink xmlns:r="http://schemas.openxmlformats.org/officeDocument/2006/relationships" ref="C70" display="https://beachinsurancellc.com/blog/state-minimum-car-insurance-requirements-for-2026-your-essential-guide" r:id="rId69"/>
    <hyperlink xmlns:r="http://schemas.openxmlformats.org/officeDocument/2006/relationships" ref="C71" display="https://www.cigflorida.com/policy-updates-for-florida-homeowners/" r:id="rId70"/>
    <hyperlink xmlns:r="http://schemas.openxmlformats.org/officeDocument/2006/relationships" ref="C72" display="https://cincoautoinsurance.com/auto-insurance/cost/" r:id="rId71"/>
    <hyperlink xmlns:r="http://schemas.openxmlformats.org/officeDocument/2006/relationships" ref="C73" display="https://coverageclassroom.com/learn/citizens-flood-insurance-requirement" r:id="rId72"/>
    <hyperlink xmlns:r="http://schemas.openxmlformats.org/officeDocument/2006/relationships" ref="C74" display="https://coverageclassroom.com/learn/hurricane-insurance-florida-guide" r:id="rId73"/>
    <hyperlink xmlns:r="http://schemas.openxmlformats.org/officeDocument/2006/relationships" ref="C75" display="https://coveragecriteria.com/articles/minimum-auto-insurance-by-state" r:id="rId74"/>
    <hyperlink xmlns:r="http://schemas.openxmlformats.org/officeDocument/2006/relationships" ref="C76" display="https://www.earthquakenearme.com/en/blog/earthquake-insurance-california" r:id="rId75"/>
    <hyperlink xmlns:r="http://schemas.openxmlformats.org/officeDocument/2006/relationships" ref="C77" display="https://expressfinancial.net/p/earthquake-insurance-california" r:id="rId76"/>
    <hyperlink xmlns:r="http://schemas.openxmlformats.org/officeDocument/2006/relationships" ref="C78" display="https://insurtool.com/tools/average-car-insurance-cost/" r:id="rId77"/>
    <hyperlink xmlns:r="http://schemas.openxmlformats.org/officeDocument/2006/relationships" ref="C79" display="https://www.insurancegeek.com/auto-insurance/state-minimum-car-insurance-limits/" r:id="rId78"/>
    <hyperlink xmlns:r="http://schemas.openxmlformats.org/officeDocument/2006/relationships" ref="C80" display="https://www.getinsureleads.com/blog/fcc-one-to-one-consent-rule-status-update-2026" r:id="rId79"/>
    <hyperlink xmlns:r="http://schemas.openxmlformats.org/officeDocument/2006/relationships" ref="C81" display="https://www.insuremojo.com/telematics-insurance-discount-programs/" r:id="rId80"/>
    <hyperlink xmlns:r="http://schemas.openxmlformats.org/officeDocument/2006/relationships" ref="C82" display="https://www.insuremojo.com/telematics-insurance-data-privacy-bills-2026/" r:id="rId81"/>
    <hyperlink xmlns:r="http://schemas.openxmlformats.org/officeDocument/2006/relationships" ref="C83" display="https://www.insuredbetter.com/car-insurance/compare-auto-coverage/rate-cost/" r:id="rId82"/>
    <hyperlink xmlns:r="http://schemas.openxmlformats.org/officeDocument/2006/relationships" ref="C84" display="https://www.latentinsure.com/texas-homeowners-insurance/twia" r:id="rId83"/>
    <hyperlink xmlns:r="http://schemas.openxmlformats.org/officeDocument/2006/relationships" ref="C85" display="https://www.leaddistro.ai/blog/one-to-one-consent" r:id="rId84"/>
    <hyperlink xmlns:r="http://schemas.openxmlformats.org/officeDocument/2006/relationships" ref="C86" display="https://thelendersnetwork.com/flood-insurance-mortgage-requirements/" r:id="rId85"/>
    <hyperlink xmlns:r="http://schemas.openxmlformats.org/officeDocument/2006/relationships" ref="C87" display="https://www.meilynx.com/reference/naic-ai-model-bulletin" r:id="rId86"/>
    <hyperlink xmlns:r="http://schemas.openxmlformats.org/officeDocument/2006/relationships" ref="C88" display="https://www.quoteyeti.com/blog/telematics-tradeoffs/" r:id="rId87"/>
    <hyperlink xmlns:r="http://schemas.openxmlformats.org/officeDocument/2006/relationships" ref="C89" display="https://www.realcostreport.com/insurance/home-insurance/umbrella-insurance-cost/" r:id="rId88"/>
    <hyperlink xmlns:r="http://schemas.openxmlformats.org/officeDocument/2006/relationships" ref="C90" display="https://www.safedriver.com/news/defensive-driving-for-insurance-discount-2026-how-much-you-can-really-save" r:id="rId89"/>
    <hyperlink xmlns:r="http://schemas.openxmlformats.org/officeDocument/2006/relationships" ref="C91" display="https://techsavvyinsurance.com/answers/which-states-adopted-naic-ai-model-bulletin/" r:id="rId90"/>
    <hyperlink xmlns:r="http://schemas.openxmlformats.org/officeDocument/2006/relationships" ref="C92" display="https://usecalcpro.com/finance/umbrella-insurance-quote-calculator" r:id="rId91"/>
    <hyperlink xmlns:r="http://schemas.openxmlformats.org/officeDocument/2006/relationships" ref="C93" display="https://www.vilesandbeckman.com/blog/did-florida-repeal-no-fault-insurance-the-pip-myths-and-the-facts-for-2026/" r:id="rId92"/>
    <hyperlink xmlns:r="http://schemas.openxmlformats.org/officeDocument/2006/relationships" ref="C94" display="https://walletgrower.com/insurance/homeowners-insurance/flood-insurance" r:id="rId93"/>
    <hyperlink xmlns:r="http://schemas.openxmlformats.org/officeDocument/2006/relationships" ref="C95" display="https://actuary.info/insights/ai-regulation-insurance-naic-2026" r:id="rId9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Coverage</t>
        </is>
      </c>
      <c r="B2" s="28" t="inlineStr">
        <is>
          <t>Other structures (garages, sheds)</t>
        </is>
      </c>
      <c r="C2" s="28" t="inlineStr">
        <is>
          <t>Typically 10% of the dwelling coverage limit under a Special Form Policy</t>
        </is>
      </c>
      <c r="D2" s="28" t="inlineStr">
        <is>
          <t>DFS homeowners guide</t>
        </is>
      </c>
      <c r="E2" s="28" t="inlineStr">
        <is>
          <t>NY Dept of Financial Services - Homeowners Insurance: Basic Coverage and Adding Coverage</t>
        </is>
      </c>
      <c r="F2" s="28" t="inlineStr">
        <is>
          <t>https://www.dfs.ny.gov/consumers/help_for_homeowners/insurance/basic_coverage</t>
        </is>
      </c>
      <c r="G2" s="48" t="n">
        <v>46296</v>
      </c>
      <c r="H2" s="28" t="inlineStr">
        <is>
          <t>New York</t>
        </is>
      </c>
      <c r="I2" s="28" t="inlineStr">
        <is>
          <t>Regulator-published</t>
        </is>
      </c>
      <c r="J2" s="28" t="inlineStr">
        <is>
          <t>Primary source</t>
        </is>
      </c>
      <c r="K2" s="48" t="n">
        <v>46296</v>
      </c>
    </row>
    <row r="3">
      <c r="A3" s="28" t="inlineStr">
        <is>
          <t>Coverage</t>
        </is>
      </c>
      <c r="B3" s="28" t="inlineStr">
        <is>
          <t>Personal property on premises</t>
        </is>
      </c>
      <c r="C3" s="28" t="inlineStr">
        <is>
          <t>Typically 50% of the dwelling coverage limit</t>
        </is>
      </c>
      <c r="D3" s="28" t="inlineStr">
        <is>
          <t>DFS homeowners guide</t>
        </is>
      </c>
      <c r="E3" s="28" t="inlineStr">
        <is>
          <t>NY Dept of Financial Services - Homeowners Insurance: Basic Coverage and Adding Coverage</t>
        </is>
      </c>
      <c r="F3" s="28" t="inlineStr">
        <is>
          <t>https://www.dfs.ny.gov/consumers/help_for_homeowners/insurance/basic_coverage</t>
        </is>
      </c>
      <c r="G3" s="48" t="n">
        <v>46296</v>
      </c>
      <c r="H3" s="28" t="inlineStr">
        <is>
          <t>New York</t>
        </is>
      </c>
      <c r="I3" s="28" t="inlineStr">
        <is>
          <t>Regulator-published</t>
        </is>
      </c>
      <c r="J3" s="28" t="inlineStr">
        <is>
          <t>Primary source</t>
        </is>
      </c>
      <c r="K3" s="48" t="n">
        <v>46296</v>
      </c>
    </row>
    <row r="4">
      <c r="A4" s="28" t="inlineStr">
        <is>
          <t>Coverage</t>
        </is>
      </c>
      <c r="B4" s="28" t="inlineStr">
        <is>
          <t>Personal property off premises</t>
        </is>
      </c>
      <c r="C4" s="28" t="inlineStr">
        <is>
          <t>Typically 10% of the dwelling coverage limit</t>
        </is>
      </c>
      <c r="D4" s="28" t="inlineStr">
        <is>
          <t>DFS homeowners guide</t>
        </is>
      </c>
      <c r="E4" s="28" t="inlineStr">
        <is>
          <t>NY Dept of Financial Services - Homeowners Insurance: Basic Coverage and Adding Coverage</t>
        </is>
      </c>
      <c r="F4" s="28" t="inlineStr">
        <is>
          <t>https://www.dfs.ny.gov/consumers/help_for_homeowners/insurance/basic_coverage</t>
        </is>
      </c>
      <c r="G4" s="48" t="n">
        <v>46296</v>
      </c>
      <c r="H4" s="28" t="inlineStr">
        <is>
          <t>New York</t>
        </is>
      </c>
      <c r="I4" s="28" t="inlineStr">
        <is>
          <t>Regulator-published</t>
        </is>
      </c>
      <c r="J4" s="28" t="inlineStr">
        <is>
          <t>Primary source</t>
        </is>
      </c>
      <c r="K4" s="48" t="n">
        <v>46296</v>
      </c>
    </row>
    <row r="5">
      <c r="A5" s="28" t="inlineStr">
        <is>
          <t>Coverage</t>
        </is>
      </c>
      <c r="B5" s="28" t="inlineStr">
        <is>
          <t>Additional living expenses (loss of use)</t>
        </is>
      </c>
      <c r="C5" s="28" t="inlineStr">
        <is>
          <t>Typically 20% of the dwelling coverage limit</t>
        </is>
      </c>
      <c r="D5" s="28" t="inlineStr">
        <is>
          <t>DFS homeowners guide</t>
        </is>
      </c>
      <c r="E5" s="28" t="inlineStr">
        <is>
          <t>NY Dept of Financial Services - Homeowners Insurance: Basic Coverage and Adding Coverage</t>
        </is>
      </c>
      <c r="F5" s="28" t="inlineStr">
        <is>
          <t>https://www.dfs.ny.gov/consumers/help_for_homeowners/insurance/basic_coverage</t>
        </is>
      </c>
      <c r="G5" s="48" t="n">
        <v>46296</v>
      </c>
      <c r="H5" s="28" t="inlineStr">
        <is>
          <t>New York</t>
        </is>
      </c>
      <c r="I5" s="28" t="inlineStr">
        <is>
          <t>Regulator-published</t>
        </is>
      </c>
      <c r="J5" s="28" t="inlineStr">
        <is>
          <t>Primary source</t>
        </is>
      </c>
      <c r="K5" s="48" t="n">
        <v>46296</v>
      </c>
    </row>
    <row r="6">
      <c r="A6" s="28" t="inlineStr">
        <is>
          <t>Coverage</t>
        </is>
      </c>
      <c r="B6" s="28" t="inlineStr">
        <is>
          <t>Special limits on specific property</t>
        </is>
      </c>
      <c r="C6" s="28" t="inlineStr">
        <is>
          <t>Typical per-loss maximums under a standard policy: money/bullion $200; securities/deeds/letters of credit $1,500; watercraft (incl. trailers) $1,500; jewelry/watches/furs theft $1,500; silverware/goldware theft $2,500; firearms theft $2,500; business property on premises $2,500, away from premises $500; electronic apparatus in motor vehicles $1,500</t>
        </is>
      </c>
      <c r="D6" s="28" t="inlineStr">
        <is>
          <t>DFS homeowners guide</t>
        </is>
      </c>
      <c r="E6" s="28" t="inlineStr">
        <is>
          <t>NY Dept of Financial Services - Homeowners Insurance: Basic Coverage and Adding Coverage</t>
        </is>
      </c>
      <c r="F6" s="28" t="inlineStr">
        <is>
          <t>https://www.dfs.ny.gov/consumers/help_for_homeowners/insurance/basic_coverage</t>
        </is>
      </c>
      <c r="G6" s="48" t="n">
        <v>46296</v>
      </c>
      <c r="H6" s="28" t="inlineStr">
        <is>
          <t>New York</t>
        </is>
      </c>
      <c r="I6" s="28" t="inlineStr">
        <is>
          <t>Regulator-published</t>
        </is>
      </c>
      <c r="J6" s="28" t="inlineStr">
        <is>
          <t>Primary source</t>
        </is>
      </c>
      <c r="K6" s="48" t="n">
        <v>46296</v>
      </c>
    </row>
    <row r="7">
      <c r="A7" s="28" t="inlineStr">
        <is>
          <t>Liability</t>
        </is>
      </c>
      <c r="B7" s="28" t="inlineStr">
        <is>
          <t>Typical liability and medical payments limits</t>
        </is>
      </c>
      <c r="C7" s="28" t="inlineStr">
        <is>
          <t>Personal liability limits of $25,000 per occurrence and medical payments limits of $1,000 per person are typical; guest medical expense coverage is generally up to $500 or $1,000</t>
        </is>
      </c>
      <c r="D7" s="28" t="inlineStr">
        <is>
          <t>DFS homeowners guide</t>
        </is>
      </c>
      <c r="E7" s="28" t="inlineStr">
        <is>
          <t>NY Dept of Financial Services - Homeowners Insurance: Basic Coverage and Adding Coverage</t>
        </is>
      </c>
      <c r="F7" s="28" t="inlineStr">
        <is>
          <t>https://www.dfs.ny.gov/consumers/help_for_homeowners/insurance/basic_coverage</t>
        </is>
      </c>
      <c r="G7" s="48" t="n">
        <v>46296</v>
      </c>
      <c r="H7" s="28" t="inlineStr">
        <is>
          <t>New York</t>
        </is>
      </c>
      <c r="I7" s="28" t="inlineStr">
        <is>
          <t>Regulator-published</t>
        </is>
      </c>
      <c r="J7" s="28" t="inlineStr">
        <is>
          <t>Primary source</t>
        </is>
      </c>
      <c r="K7" s="48" t="n">
        <v>46296</v>
      </c>
    </row>
    <row r="8">
      <c r="A8" s="28" t="inlineStr">
        <is>
          <t>Deductibles</t>
        </is>
      </c>
      <c r="B8" s="28" t="inlineStr">
        <is>
          <t>Standard deductible</t>
        </is>
      </c>
      <c r="C8" s="28" t="inlineStr">
        <is>
          <t>Standard deductibles typically start at $250, with options for $500 and $1,000</t>
        </is>
      </c>
      <c r="D8" s="28" t="inlineStr">
        <is>
          <t>DFS homeowners guide</t>
        </is>
      </c>
      <c r="E8" s="28" t="inlineStr">
        <is>
          <t>NY Dept of Financial Services - Homeowners Insurance: Basic Coverage and Adding Coverage</t>
        </is>
      </c>
      <c r="F8" s="28" t="inlineStr">
        <is>
          <t>https://www.dfs.ny.gov/consumers/help_for_homeowners/insurance/basic_coverage</t>
        </is>
      </c>
      <c r="G8" s="48" t="n">
        <v>46296</v>
      </c>
      <c r="H8" s="28" t="inlineStr">
        <is>
          <t>New York</t>
        </is>
      </c>
      <c r="I8" s="28" t="inlineStr">
        <is>
          <t>Regulator-published</t>
        </is>
      </c>
      <c r="J8" s="28" t="inlineStr">
        <is>
          <t>Primary source</t>
        </is>
      </c>
      <c r="K8" s="48" t="n">
        <v>46296</v>
      </c>
    </row>
    <row r="9">
      <c r="A9" s="28" t="inlineStr">
        <is>
          <t>Deductibles</t>
        </is>
      </c>
      <c r="B9" s="28" t="inlineStr">
        <is>
          <t>Windstorm/hurricane deductible</t>
        </is>
      </c>
      <c r="C9" s="28" t="inlineStr">
        <is>
          <t>Windstorm and hurricane deductibles commonly range from 1% to 5% of the dwelling value or insured amount</t>
        </is>
      </c>
      <c r="D9" s="28" t="inlineStr">
        <is>
          <t>DFS homeowners guide</t>
        </is>
      </c>
      <c r="E9" s="28" t="inlineStr">
        <is>
          <t>NY Dept of Financial Services - Homeowners Insurance: Basic Coverage and Adding Coverage</t>
        </is>
      </c>
      <c r="F9" s="28" t="inlineStr">
        <is>
          <t>https://www.dfs.ny.gov/consumers/help_for_homeowners/insurance/basic_coverage</t>
        </is>
      </c>
      <c r="G9" s="48" t="n">
        <v>46296</v>
      </c>
      <c r="H9" s="28" t="inlineStr">
        <is>
          <t>New York</t>
        </is>
      </c>
      <c r="I9" s="28" t="inlineStr">
        <is>
          <t>Regulator-published</t>
        </is>
      </c>
      <c r="J9" s="28" t="inlineStr">
        <is>
          <t>Primary source</t>
        </is>
      </c>
      <c r="K9" s="48" t="n">
        <v>46296</v>
      </c>
    </row>
    <row r="10">
      <c r="A10" s="28" t="inlineStr">
        <is>
          <t>Coverage</t>
        </is>
      </c>
      <c r="B10" s="28" t="inlineStr">
        <is>
          <t>Flood exclusion</t>
        </is>
      </c>
      <c r="C10" s="28" t="inlineStr">
        <is>
          <t>Flood and mudslide losses are not provided in standard homeowners policies</t>
        </is>
      </c>
      <c r="D10" s="28" t="inlineStr">
        <is>
          <t>DFS homeowners guide</t>
        </is>
      </c>
      <c r="E10" s="28" t="inlineStr">
        <is>
          <t>NY Dept of Financial Services - Homeowners Insurance: Basic Coverage and Adding Coverage</t>
        </is>
      </c>
      <c r="F10" s="28" t="inlineStr">
        <is>
          <t>https://www.dfs.ny.gov/consumers/help_for_homeowners/insurance/basic_coverage</t>
        </is>
      </c>
      <c r="G10" s="48" t="n">
        <v>46296</v>
      </c>
      <c r="H10" s="28" t="inlineStr">
        <is>
          <t>New York</t>
        </is>
      </c>
      <c r="I10" s="28" t="inlineStr">
        <is>
          <t>Regulator-published</t>
        </is>
      </c>
      <c r="J10" s="28" t="inlineStr">
        <is>
          <t>Primary source</t>
        </is>
      </c>
      <c r="K10" s="48" t="n">
        <v>46296</v>
      </c>
    </row>
    <row r="11">
      <c r="A11" s="28" t="inlineStr">
        <is>
          <t>Coverage</t>
        </is>
      </c>
      <c r="B11" s="28" t="inlineStr">
        <is>
          <t>Earthquake exclusion</t>
        </is>
      </c>
      <c r="C11" s="28" t="inlineStr">
        <is>
          <t>Earthquakes are not covered under standard homeowners policies</t>
        </is>
      </c>
      <c r="D11" s="28" t="inlineStr">
        <is>
          <t>DFS homeowners guide</t>
        </is>
      </c>
      <c r="E11" s="28" t="inlineStr">
        <is>
          <t>NY Dept of Financial Services - Homeowners Insurance: Basic Coverage and Adding Coverage</t>
        </is>
      </c>
      <c r="F11" s="28" t="inlineStr">
        <is>
          <t>https://www.dfs.ny.gov/consumers/help_for_homeowners/insurance/basic_coverage</t>
        </is>
      </c>
      <c r="G11" s="48" t="n">
        <v>46296</v>
      </c>
      <c r="H11" s="28" t="inlineStr">
        <is>
          <t>New York</t>
        </is>
      </c>
      <c r="I11" s="28" t="inlineStr">
        <is>
          <t>Regulator-published</t>
        </is>
      </c>
      <c r="J11" s="28" t="inlineStr">
        <is>
          <t>Primary source</t>
        </is>
      </c>
      <c r="K11" s="48" t="n">
        <v>46296</v>
      </c>
    </row>
    <row r="12">
      <c r="A12" s="28" t="inlineStr">
        <is>
          <t>NYPIUA</t>
        </is>
      </c>
      <c r="B12" s="28" t="inlineStr">
        <is>
          <t>What it is</t>
        </is>
      </c>
      <c r="C12" s="28" t="inlineStr">
        <is>
          <t>New York's residual-market insurer for homeowners who cannot obtain coverage in the voluntary market</t>
        </is>
      </c>
      <c r="D12" s="28" t="inlineStr">
        <is>
          <t>DFS homeowners guide (NYPIUA)</t>
        </is>
      </c>
      <c r="E12" s="28" t="inlineStr">
        <is>
          <t>NY Dept of Financial Services - Homeowners Insurance: Problems Obtaining Insurance (NYPIUA)</t>
        </is>
      </c>
      <c r="F12" s="28" t="inlineStr">
        <is>
          <t>https://www.dfs.ny.gov/consumers/help_for_homeowners/insurance/problems_obtaining_insurance</t>
        </is>
      </c>
      <c r="G12" s="48" t="n">
        <v>46296</v>
      </c>
      <c r="H12" s="28" t="inlineStr">
        <is>
          <t>New York</t>
        </is>
      </c>
      <c r="I12" s="28" t="inlineStr">
        <is>
          <t>Regulator-published</t>
        </is>
      </c>
      <c r="J12" s="28" t="inlineStr">
        <is>
          <t>Primary source</t>
        </is>
      </c>
      <c r="K12" s="48" t="n">
        <v>46296</v>
      </c>
    </row>
    <row r="13">
      <c r="A13" s="28" t="inlineStr">
        <is>
          <t>NYPIUA</t>
        </is>
      </c>
      <c r="B13" s="28" t="inlineStr">
        <is>
          <t>What it covers</t>
        </is>
      </c>
      <c r="C13" s="28" t="inlineStr">
        <is>
          <t>Basic Form generally covers fire and extended-coverage perils: wind (including hurricane), hail, explosion (except steam boilers), riot, civil commotion, aircraft, vehicles, smoke, vandalism and malicious mischief; a Broad Form option adds more perils</t>
        </is>
      </c>
      <c r="D13" s="28" t="inlineStr">
        <is>
          <t>DFS homeowners guide (NYPIUA)</t>
        </is>
      </c>
      <c r="E13" s="28" t="inlineStr">
        <is>
          <t>NY Dept of Financial Services - Homeowners Insurance: Problems Obtaining Insurance (NYPIUA)</t>
        </is>
      </c>
      <c r="F13" s="28" t="inlineStr">
        <is>
          <t>https://www.dfs.ny.gov/consumers/help_for_homeowners/insurance/problems_obtaining_insurance</t>
        </is>
      </c>
      <c r="G13" s="48" t="n">
        <v>46296</v>
      </c>
      <c r="H13" s="28" t="inlineStr">
        <is>
          <t>New York</t>
        </is>
      </c>
      <c r="I13" s="28" t="inlineStr">
        <is>
          <t>Regulator-published</t>
        </is>
      </c>
      <c r="J13" s="28" t="inlineStr">
        <is>
          <t>Primary source</t>
        </is>
      </c>
      <c r="K13" s="48" t="n">
        <v>46296</v>
      </c>
    </row>
    <row r="14">
      <c r="A14" s="28" t="inlineStr">
        <is>
          <t>NYPIUA</t>
        </is>
      </c>
      <c r="B14" s="28" t="inlineStr">
        <is>
          <t>Exclusions</t>
        </is>
      </c>
      <c r="C14" s="28" t="inlineStr">
        <is>
          <t>NYPIUA policies do not include liability, flood, or theft coverage</t>
        </is>
      </c>
      <c r="D14" s="28" t="inlineStr">
        <is>
          <t>DFS homeowners guide (NYPIUA)</t>
        </is>
      </c>
      <c r="E14" s="28" t="inlineStr">
        <is>
          <t>NY Dept of Financial Services - Homeowners Insurance: Problems Obtaining Insurance (NYPIUA)</t>
        </is>
      </c>
      <c r="F14" s="28" t="inlineStr">
        <is>
          <t>https://www.dfs.ny.gov/consumers/help_for_homeowners/insurance/problems_obtaining_insurance</t>
        </is>
      </c>
      <c r="G14" s="48" t="n">
        <v>46296</v>
      </c>
      <c r="H14" s="28" t="inlineStr">
        <is>
          <t>New York</t>
        </is>
      </c>
      <c r="I14" s="28" t="inlineStr">
        <is>
          <t>Regulator-published</t>
        </is>
      </c>
      <c r="J14" s="28" t="inlineStr">
        <is>
          <t>Primary source</t>
        </is>
      </c>
      <c r="K14" s="48" t="n">
        <v>46296</v>
      </c>
    </row>
    <row r="15">
      <c r="A15" s="28" t="inlineStr">
        <is>
          <t>NYPIUA</t>
        </is>
      </c>
      <c r="B15" s="28" t="inlineStr">
        <is>
          <t>Hurricane deductible</t>
        </is>
      </c>
      <c r="C15" s="28" t="inlineStr">
        <is>
          <t>Broad Form NYPIUA policies carry a 2% hurricane deductible in Bronx, Kings, Nassau, Queens, Richmond, Suffolk and Westchester counties</t>
        </is>
      </c>
      <c r="D15" s="28" t="inlineStr">
        <is>
          <t>DFS homeowners guide (NYPIUA)</t>
        </is>
      </c>
      <c r="E15" s="28" t="inlineStr">
        <is>
          <t>NY Dept of Financial Services - Homeowners Insurance: Problems Obtaining Insurance (NYPIUA)</t>
        </is>
      </c>
      <c r="F15" s="28" t="inlineStr">
        <is>
          <t>https://www.dfs.ny.gov/consumers/help_for_homeowners/insurance/problems_obtaining_insurance</t>
        </is>
      </c>
      <c r="G15" s="48" t="n">
        <v>46296</v>
      </c>
      <c r="H15" s="28" t="inlineStr">
        <is>
          <t>New York</t>
        </is>
      </c>
      <c r="I15" s="28" t="inlineStr">
        <is>
          <t>Regulator-published</t>
        </is>
      </c>
      <c r="J15" s="28" t="inlineStr">
        <is>
          <t>Primary source</t>
        </is>
      </c>
      <c r="K15" s="48" t="n">
        <v>46296</v>
      </c>
    </row>
    <row r="16">
      <c r="A16" s="28" t="inlineStr">
        <is>
          <t>NYPIUA</t>
        </is>
      </c>
      <c r="B16" s="28" t="inlineStr">
        <is>
          <t>Settlement basis and cost</t>
        </is>
      </c>
      <c r="C16" s="28" t="inlineStr">
        <is>
          <t>NYPIUA coverage is generally offered on an actual cash value basis and is sold at a higher premium than coverage in the voluntary market</t>
        </is>
      </c>
      <c r="D16" s="28" t="inlineStr">
        <is>
          <t>DFS homeowners guide (NYPIUA)</t>
        </is>
      </c>
      <c r="E16" s="28" t="inlineStr">
        <is>
          <t>NY Dept of Financial Services - Homeowners Insurance: Problems Obtaining Insurance (NYPIUA)</t>
        </is>
      </c>
      <c r="F16" s="28" t="inlineStr">
        <is>
          <t>https://www.dfs.ny.gov/consumers/help_for_homeowners/insurance/problems_obtaining_insurance</t>
        </is>
      </c>
      <c r="G16" s="48" t="n">
        <v>46296</v>
      </c>
      <c r="H16" s="28" t="inlineStr">
        <is>
          <t>New York</t>
        </is>
      </c>
      <c r="I16" s="28" t="inlineStr">
        <is>
          <t>Regulator-published</t>
        </is>
      </c>
      <c r="J16" s="28" t="inlineStr">
        <is>
          <t>Primary source</t>
        </is>
      </c>
      <c r="K16" s="48" t="n">
        <v>46296</v>
      </c>
    </row>
    <row r="17">
      <c r="A17" s="28" t="inlineStr">
        <is>
          <t>Rating factors</t>
        </is>
      </c>
      <c r="B17" s="28" t="inlineStr">
        <is>
          <t>Credit information disclosure and re-rating rights</t>
        </is>
      </c>
      <c r="C17" s="28" t="inlineStr">
        <is>
          <t>If credit information is used in underwriting or rating a homeowners policy, the insurer must inform the policyholder; a policyholder may request re-underwriting and re-rating based on current credit information at least every three years; insurers may only use updated credit information to decrease premiums, never to increase them</t>
        </is>
      </c>
      <c r="D17" s="28" t="inlineStr">
        <is>
          <t>DFS consumer guide (Ways to Save on Homeowners Insurance)</t>
        </is>
      </c>
      <c r="E17" s="28" t="inlineStr">
        <is>
          <t>NY Dept of Financial Services - Ways to Save on Homeowners Insurance</t>
        </is>
      </c>
      <c r="F17" s="28" t="inlineStr">
        <is>
          <t>https://www.dfs.ny.gov/system/files/documents/2026/02/Ways-to-Save-Homeowners-Insurance.pdf</t>
        </is>
      </c>
      <c r="G17" s="48" t="n">
        <v>46296</v>
      </c>
      <c r="H17" s="28" t="inlineStr">
        <is>
          <t>New York</t>
        </is>
      </c>
      <c r="I17" s="28" t="inlineStr">
        <is>
          <t>Regulator-published</t>
        </is>
      </c>
      <c r="J17" s="28" t="inlineStr">
        <is>
          <t>Primary source</t>
        </is>
      </c>
      <c r="K17" s="48" t="n">
        <v>46296</v>
      </c>
    </row>
    <row r="18">
      <c r="A18" s="28" t="inlineStr">
        <is>
          <t>Cancellation</t>
        </is>
      </c>
      <c r="B18" s="28" t="inlineStr">
        <is>
          <t>Cancellation within first 60 days</t>
        </is>
      </c>
      <c r="C18" s="28" t="inlineStr">
        <is>
          <t>An insurer may cancel a homeowners or tenants policy by issuing a cancellation notice during the first 60 days it is in effect, as long as the notice states the specific reason</t>
        </is>
      </c>
      <c r="D18" s="28" t="inlineStr">
        <is>
          <t>NY Insurance Law, per DFS guide</t>
        </is>
      </c>
      <c r="E18" s="28" t="inlineStr">
        <is>
          <t>NY Dept of Financial Services - Homeowners Insurance: Cancellations and Non-Renewals</t>
        </is>
      </c>
      <c r="F18" s="28" t="inlineStr">
        <is>
          <t>https://www.dfs.ny.gov/consumers/help_for_homeowners/insurance/cancellations_and_nonrenewals</t>
        </is>
      </c>
      <c r="G18" s="48" t="n">
        <v>46296</v>
      </c>
      <c r="H18" s="28" t="inlineStr">
        <is>
          <t>New York</t>
        </is>
      </c>
      <c r="I18" s="28" t="inlineStr">
        <is>
          <t>Regulator-published</t>
        </is>
      </c>
      <c r="J18" s="28" t="inlineStr">
        <is>
          <t>Primary source</t>
        </is>
      </c>
      <c r="K18" s="48" t="n">
        <v>46296</v>
      </c>
    </row>
    <row r="19">
      <c r="A19" s="28" t="inlineStr">
        <is>
          <t>Cancellation</t>
        </is>
      </c>
      <c r="B19" s="28" t="inlineStr">
        <is>
          <t>Protection after 60 days (three-year period)</t>
        </is>
      </c>
      <c r="C19" s="28" t="inlineStr">
        <is>
          <t>After a policy has been in effect for 60 days, it may not be cancelled or non-renewed for a three-year period except for specific reasons: nonpayment of premium (15-day grace period), a criminal conviction from an act increasing the hazard, fraud or material misrepresentation, willful or reckless acts or omissions increasing the hazard, physical changes making the property uninsurable, or a Superintendent determination of an Insurance Law violation</t>
        </is>
      </c>
      <c r="D19" s="28" t="inlineStr">
        <is>
          <t>NY Insurance Law, per DFS guide</t>
        </is>
      </c>
      <c r="E19" s="28" t="inlineStr">
        <is>
          <t>NY Dept of Financial Services - Homeowners Insurance: Cancellations and Non-Renewals</t>
        </is>
      </c>
      <c r="F19" s="28" t="inlineStr">
        <is>
          <t>https://www.dfs.ny.gov/consumers/help_for_homeowners/insurance/cancellations_and_nonrenewals</t>
        </is>
      </c>
      <c r="G19" s="48" t="n">
        <v>46296</v>
      </c>
      <c r="H19" s="28" t="inlineStr">
        <is>
          <t>New York</t>
        </is>
      </c>
      <c r="I19" s="28" t="inlineStr">
        <is>
          <t>Regulator-published</t>
        </is>
      </c>
      <c r="J19" s="28" t="inlineStr">
        <is>
          <t>Primary source</t>
        </is>
      </c>
      <c r="K19" s="48" t="n">
        <v>46296</v>
      </c>
    </row>
    <row r="20">
      <c r="A20" s="28" t="inlineStr">
        <is>
          <t>Non-renewal</t>
        </is>
      </c>
      <c r="B20" s="28" t="inlineStr">
        <is>
          <t>Non-renewal notice period</t>
        </is>
      </c>
      <c r="C20" s="28" t="inlineStr">
        <is>
          <t>Any notice of non-renewal must be provided at least 45 days but not more than 60 days prior to the policy's expiration date</t>
        </is>
      </c>
      <c r="D20" s="28" t="inlineStr">
        <is>
          <t>NY Insurance Law, per DFS guide</t>
        </is>
      </c>
      <c r="E20" s="28" t="inlineStr">
        <is>
          <t>NY Dept of Financial Services - Homeowners Insurance: Cancellations and Non-Renewals</t>
        </is>
      </c>
      <c r="F20" s="28" t="inlineStr">
        <is>
          <t>https://www.dfs.ny.gov/consumers/help_for_homeowners/insurance/cancellations_and_nonrenewals</t>
        </is>
      </c>
      <c r="G20" s="48" t="n">
        <v>46296</v>
      </c>
      <c r="H20" s="28" t="inlineStr">
        <is>
          <t>New York</t>
        </is>
      </c>
      <c r="I20" s="28" t="inlineStr">
        <is>
          <t>Regulator-published</t>
        </is>
      </c>
      <c r="J20" s="28" t="inlineStr">
        <is>
          <t>Primary source</t>
        </is>
      </c>
      <c r="K20" s="48" t="n">
        <v>46296</v>
      </c>
    </row>
    <row r="21">
      <c r="A21" s="28" t="inlineStr">
        <is>
          <t>Discounts</t>
        </is>
      </c>
      <c r="B21" s="28" t="inlineStr">
        <is>
          <t>Required hurricane-mitigation discount</t>
        </is>
      </c>
      <c r="C21" s="28" t="inlineStr">
        <is>
          <t>Insurers must provide discounts for hurricane-resistant shutters and hurricane-resistant windows and doors</t>
        </is>
      </c>
      <c r="D21" s="28" t="inlineStr">
        <is>
          <t>DFS consumer guide (Ways to Save on Homeowners Insurance)</t>
        </is>
      </c>
      <c r="E21" s="28" t="inlineStr">
        <is>
          <t>NY Dept of Financial Services - Ways to Save on Homeowners Insurance</t>
        </is>
      </c>
      <c r="F21" s="28" t="inlineStr">
        <is>
          <t>https://www.dfs.ny.gov/system/files/documents/2026/02/Ways-to-Save-Homeowners-Insurance.pdf</t>
        </is>
      </c>
      <c r="G21" s="48" t="n">
        <v>46296</v>
      </c>
      <c r="H21" s="28" t="inlineStr">
        <is>
          <t>New York</t>
        </is>
      </c>
      <c r="I21" s="28" t="inlineStr">
        <is>
          <t>Regulator-published</t>
        </is>
      </c>
      <c r="J21" s="28" t="inlineStr">
        <is>
          <t>Primary source</t>
        </is>
      </c>
      <c r="K21" s="48" t="n">
        <v>46296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Minimum liability</t>
        </is>
      </c>
      <c r="B2" s="28" t="inlineStr">
        <is>
          <t>Bodily injury per person</t>
        </is>
      </c>
      <c r="C2" s="28" t="inlineStr">
        <is>
          <t>$25,000</t>
        </is>
      </c>
      <c r="D2" s="28" t="inlineStr">
        <is>
          <t>IDOI auto shopping guide</t>
        </is>
      </c>
      <c r="E2" s="28" t="inlineStr">
        <is>
          <t>Illinois Dept of Insurance - Auto Insurance Shopping Guide</t>
        </is>
      </c>
      <c r="F2" s="28" t="inlineStr">
        <is>
          <t>https://idoi.illinois.gov/consumers/consumerinsurance/auto-insurance-shopping-guide.html</t>
        </is>
      </c>
      <c r="G2" s="48" t="n">
        <v>46296</v>
      </c>
      <c r="H2" s="28" t="inlineStr">
        <is>
          <t>Illinois</t>
        </is>
      </c>
      <c r="I2" s="28" t="inlineStr">
        <is>
          <t>Regulator-published</t>
        </is>
      </c>
      <c r="J2" s="28" t="inlineStr">
        <is>
          <t>Primary source</t>
        </is>
      </c>
      <c r="K2" s="48" t="n">
        <v>46296</v>
      </c>
    </row>
    <row r="3">
      <c r="A3" s="28" t="inlineStr">
        <is>
          <t>Minimum liability</t>
        </is>
      </c>
      <c r="B3" s="28" t="inlineStr">
        <is>
          <t>Bodily injury per accident</t>
        </is>
      </c>
      <c r="C3" s="28" t="inlineStr">
        <is>
          <t>$50,000</t>
        </is>
      </c>
      <c r="D3" s="28" t="inlineStr">
        <is>
          <t>IDOI auto shopping guide</t>
        </is>
      </c>
      <c r="E3" s="28" t="inlineStr">
        <is>
          <t>Illinois Dept of Insurance - Auto Insurance Shopping Guide</t>
        </is>
      </c>
      <c r="F3" s="28" t="inlineStr">
        <is>
          <t>https://idoi.illinois.gov/consumers/consumerinsurance/auto-insurance-shopping-guide.html</t>
        </is>
      </c>
      <c r="G3" s="48" t="n">
        <v>46296</v>
      </c>
      <c r="H3" s="28" t="inlineStr">
        <is>
          <t>Illinois</t>
        </is>
      </c>
      <c r="I3" s="28" t="inlineStr">
        <is>
          <t>Regulator-published</t>
        </is>
      </c>
      <c r="J3" s="28" t="inlineStr">
        <is>
          <t>Primary source</t>
        </is>
      </c>
      <c r="K3" s="48" t="n">
        <v>46296</v>
      </c>
    </row>
    <row r="4">
      <c r="A4" s="28" t="inlineStr">
        <is>
          <t>Minimum liability</t>
        </is>
      </c>
      <c r="B4" s="28" t="inlineStr">
        <is>
          <t>Property damage</t>
        </is>
      </c>
      <c r="C4" s="28" t="inlineStr">
        <is>
          <t>$20,000</t>
        </is>
      </c>
      <c r="D4" s="28" t="inlineStr">
        <is>
          <t>IDOI auto shopping guide</t>
        </is>
      </c>
      <c r="E4" s="28" t="inlineStr">
        <is>
          <t>Illinois Dept of Insurance - Auto Insurance Shopping Guide</t>
        </is>
      </c>
      <c r="F4" s="28" t="inlineStr">
        <is>
          <t>https://idoi.illinois.gov/consumers/consumerinsurance/auto-insurance-shopping-guide.html</t>
        </is>
      </c>
      <c r="G4" s="48" t="n">
        <v>46296</v>
      </c>
      <c r="H4" s="28" t="inlineStr">
        <is>
          <t>Illinois</t>
        </is>
      </c>
      <c r="I4" s="28" t="inlineStr">
        <is>
          <t>Regulator-published</t>
        </is>
      </c>
      <c r="J4" s="28" t="inlineStr">
        <is>
          <t>Primary source</t>
        </is>
      </c>
      <c r="K4" s="48" t="n">
        <v>46296</v>
      </c>
    </row>
    <row r="5">
      <c r="A5" s="28" t="inlineStr">
        <is>
          <t>Coverage</t>
        </is>
      </c>
      <c r="B5" s="28" t="inlineStr">
        <is>
          <t>Uninsured motorist bodily injury</t>
        </is>
      </c>
      <c r="C5" s="28" t="inlineStr">
        <is>
          <t>Required by law; minimum limits of $25,000 per person and $50,000 per accident, the same as the liability minimums</t>
        </is>
      </c>
      <c r="D5" s="28" t="inlineStr">
        <is>
          <t>IDOI auto shopping guide</t>
        </is>
      </c>
      <c r="E5" s="28" t="inlineStr">
        <is>
          <t>Illinois Dept of Insurance - Auto Insurance Shopping Guide</t>
        </is>
      </c>
      <c r="F5" s="28" t="inlineStr">
        <is>
          <t>https://idoi.illinois.gov/consumers/consumerinsurance/auto-insurance-shopping-guide.html</t>
        </is>
      </c>
      <c r="G5" s="48" t="n">
        <v>46296</v>
      </c>
      <c r="H5" s="28" t="inlineStr">
        <is>
          <t>Illinois</t>
        </is>
      </c>
      <c r="I5" s="28" t="inlineStr">
        <is>
          <t>Regulator-published</t>
        </is>
      </c>
      <c r="J5" s="28" t="inlineStr">
        <is>
          <t>Primary source</t>
        </is>
      </c>
      <c r="K5" s="48" t="n">
        <v>46296</v>
      </c>
    </row>
    <row r="6">
      <c r="A6" s="28" t="inlineStr">
        <is>
          <t>Coverage</t>
        </is>
      </c>
      <c r="B6" s="28" t="inlineStr">
        <is>
          <t>Underinsured motorist (UIM)</t>
        </is>
      </c>
      <c r="C6" s="28" t="inlineStr">
        <is>
          <t>Mandatory when the policyholder purchases higher uninsured-motorist limits; pays the difference between the UIM limit and an at-fault driver's insufficient liability coverage</t>
        </is>
      </c>
      <c r="D6" s="28" t="inlineStr">
        <is>
          <t>IDOI auto shopping guide</t>
        </is>
      </c>
      <c r="E6" s="28" t="inlineStr">
        <is>
          <t>Illinois Dept of Insurance - Auto Insurance Shopping Guide</t>
        </is>
      </c>
      <c r="F6" s="28" t="inlineStr">
        <is>
          <t>https://idoi.illinois.gov/consumers/consumerinsurance/auto-insurance-shopping-guide.html</t>
        </is>
      </c>
      <c r="G6" s="48" t="n">
        <v>46296</v>
      </c>
      <c r="H6" s="28" t="inlineStr">
        <is>
          <t>Illinois</t>
        </is>
      </c>
      <c r="I6" s="28" t="inlineStr">
        <is>
          <t>Regulator-published</t>
        </is>
      </c>
      <c r="J6" s="28" t="inlineStr">
        <is>
          <t>Primary source</t>
        </is>
      </c>
      <c r="K6" s="48" t="n">
        <v>46296</v>
      </c>
    </row>
    <row r="7">
      <c r="A7" s="28" t="inlineStr">
        <is>
          <t>Coverage</t>
        </is>
      </c>
      <c r="B7" s="28" t="inlineStr">
        <is>
          <t>Uninsured motorist property damage (UMPD)</t>
        </is>
      </c>
      <c r="C7" s="28" t="inlineStr">
        <is>
          <t>Optional; the company must offer this coverage with a maximum $250 deductible</t>
        </is>
      </c>
      <c r="D7" s="28" t="inlineStr">
        <is>
          <t>IDOI auto shopping guide</t>
        </is>
      </c>
      <c r="E7" s="28" t="inlineStr">
        <is>
          <t>Illinois Dept of Insurance - Auto Insurance Shopping Guide</t>
        </is>
      </c>
      <c r="F7" s="28" t="inlineStr">
        <is>
          <t>https://idoi.illinois.gov/consumers/consumerinsurance/auto-insurance-shopping-guide.html</t>
        </is>
      </c>
      <c r="G7" s="48" t="n">
        <v>46296</v>
      </c>
      <c r="H7" s="28" t="inlineStr">
        <is>
          <t>Illinois</t>
        </is>
      </c>
      <c r="I7" s="28" t="inlineStr">
        <is>
          <t>Regulator-published</t>
        </is>
      </c>
      <c r="J7" s="28" t="inlineStr">
        <is>
          <t>Primary source</t>
        </is>
      </c>
      <c r="K7" s="48" t="n">
        <v>46296</v>
      </c>
    </row>
    <row r="8">
      <c r="A8" s="28" t="inlineStr">
        <is>
          <t>Coverage</t>
        </is>
      </c>
      <c r="B8" s="28" t="inlineStr">
        <is>
          <t>Physical damage (collision/comprehensive)</t>
        </is>
      </c>
      <c r="C8" s="28" t="inlineStr">
        <is>
          <t>Not required by state law, but lenders typically require it for financed vehicles; deductibles range from $0 to $1,000</t>
        </is>
      </c>
      <c r="D8" s="28" t="inlineStr">
        <is>
          <t>IDOI auto shopping guide</t>
        </is>
      </c>
      <c r="E8" s="28" t="inlineStr">
        <is>
          <t>Illinois Dept of Insurance - Auto Insurance Shopping Guide</t>
        </is>
      </c>
      <c r="F8" s="28" t="inlineStr">
        <is>
          <t>https://idoi.illinois.gov/consumers/consumerinsurance/auto-insurance-shopping-guide.html</t>
        </is>
      </c>
      <c r="G8" s="48" t="n">
        <v>46296</v>
      </c>
      <c r="H8" s="28" t="inlineStr">
        <is>
          <t>Illinois</t>
        </is>
      </c>
      <c r="I8" s="28" t="inlineStr">
        <is>
          <t>Regulator-published</t>
        </is>
      </c>
      <c r="J8" s="28" t="inlineStr">
        <is>
          <t>Primary source</t>
        </is>
      </c>
      <c r="K8" s="48" t="n">
        <v>46296</v>
      </c>
    </row>
    <row r="9">
      <c r="A9" s="28" t="inlineStr">
        <is>
          <t>Coverage</t>
        </is>
      </c>
      <c r="B9" s="28" t="inlineStr">
        <is>
          <t>Medical payments</t>
        </is>
      </c>
      <c r="C9" s="28" t="inlineStr">
        <is>
          <t>Optional coverage available for medical and funeral expenses (Illinois does not require PIP/no-fault coverage)</t>
        </is>
      </c>
      <c r="D9" s="28" t="inlineStr">
        <is>
          <t>IDOI auto shopping guide</t>
        </is>
      </c>
      <c r="E9" s="28" t="inlineStr">
        <is>
          <t>Illinois Dept of Insurance - Auto Insurance Shopping Guide</t>
        </is>
      </c>
      <c r="F9" s="28" t="inlineStr">
        <is>
          <t>https://idoi.illinois.gov/consumers/consumerinsurance/auto-insurance-shopping-guide.html</t>
        </is>
      </c>
      <c r="G9" s="48" t="n">
        <v>46296</v>
      </c>
      <c r="H9" s="28" t="inlineStr">
        <is>
          <t>Illinois</t>
        </is>
      </c>
      <c r="I9" s="28" t="inlineStr">
        <is>
          <t>Regulator-published</t>
        </is>
      </c>
      <c r="J9" s="28" t="inlineStr">
        <is>
          <t>Primary source</t>
        </is>
      </c>
      <c r="K9" s="48" t="n">
        <v>46296</v>
      </c>
    </row>
    <row r="10">
      <c r="A10" s="28" t="inlineStr">
        <is>
          <t>Discounts</t>
        </is>
      </c>
      <c r="B10" s="28" t="inlineStr">
        <is>
          <t>Notable discounts available</t>
        </is>
      </c>
      <c r="C10" s="28" t="inlineStr">
        <is>
          <t>Good student (B average or better), defensive driver (age 55+), multiple vehicles, safety devices, low mileage, and bundled policies</t>
        </is>
      </c>
      <c r="D10" s="28" t="inlineStr">
        <is>
          <t>IDOI auto shopping guide</t>
        </is>
      </c>
      <c r="E10" s="28" t="inlineStr">
        <is>
          <t>Illinois Dept of Insurance - Auto Insurance Shopping Guide</t>
        </is>
      </c>
      <c r="F10" s="28" t="inlineStr">
        <is>
          <t>https://idoi.illinois.gov/consumers/consumerinsurance/auto-insurance-shopping-guide.html</t>
        </is>
      </c>
      <c r="G10" s="48" t="n">
        <v>46296</v>
      </c>
      <c r="H10" s="28" t="inlineStr">
        <is>
          <t>Illinois</t>
        </is>
      </c>
      <c r="I10" s="28" t="inlineStr">
        <is>
          <t>Regulator-published</t>
        </is>
      </c>
      <c r="J10" s="28" t="inlineStr">
        <is>
          <t>Primary source</t>
        </is>
      </c>
      <c r="K10" s="48" t="n">
        <v>46296</v>
      </c>
    </row>
    <row r="11">
      <c r="A11" s="28" t="inlineStr">
        <is>
          <t>Rating factors</t>
        </is>
      </c>
      <c r="B11" s="28" t="inlineStr">
        <is>
          <t>Credit-based insurance score restrictions</t>
        </is>
      </c>
      <c r="C11" s="28" t="inlineStr">
        <is>
          <t>Credit-based insurance scores used for auto and home insurance may not consider race, color, national origin, religion, gender, marital status, age, income, occupation or employment history, location of residence, any interest rate being charged, child/family support obligations or rental agreements, or certain credit inquiries (account review, employment, promotional) or credit counseling participation; insurers cannot base renewal rates solely on credit information; an insurer must use a credit report or score obtained within 90 days of writing or renewing a policy to take an adverse action; consumers may request premium reconsideration after an extraordinary life circumstance such as a catastrophic event, job loss, or serious illness</t>
        </is>
      </c>
      <c r="D11" s="28" t="inlineStr">
        <is>
          <t>215 ILCS 157 (Use of Credit Information in Personal Insurance Act)</t>
        </is>
      </c>
      <c r="E11" s="28" t="inlineStr">
        <is>
          <t>Illinois Dept of Insurance - Credit: How Insurers Use It</t>
        </is>
      </c>
      <c r="F11" s="28" t="inlineStr">
        <is>
          <t>https://idoi.illinois.gov/consumers/consumerinsurance/credit.html</t>
        </is>
      </c>
      <c r="G11" s="48" t="n">
        <v>46296</v>
      </c>
      <c r="H11" s="28" t="inlineStr">
        <is>
          <t>Illinois</t>
        </is>
      </c>
      <c r="I11" s="28" t="inlineStr">
        <is>
          <t>Regulator-published</t>
        </is>
      </c>
      <c r="J11" s="28" t="inlineStr">
        <is>
          <t>Primary source</t>
        </is>
      </c>
      <c r="K11" s="48" t="n">
        <v>46296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Coverage</t>
        </is>
      </c>
      <c r="B2" s="28" t="inlineStr">
        <is>
          <t>Dwelling coverage</t>
        </is>
      </c>
      <c r="C2" s="28" t="inlineStr">
        <is>
          <t>Covers damage to the house; the face amount of the policy (for example $100,000) is the most you will receive if the house is totally destroyed</t>
        </is>
      </c>
      <c r="D2" s="28" t="inlineStr">
        <is>
          <t>IDOI homeowner/renter shopping tips</t>
        </is>
      </c>
      <c r="E2" s="28" t="inlineStr">
        <is>
          <t>Illinois Dept of Insurance - Homeowner/Renter Shopping Tips and Information</t>
        </is>
      </c>
      <c r="F2" s="28" t="inlineStr">
        <is>
          <t>https://idoi.illinois.gov/consumers/consumerinsurance/homeownerrenter/shopping-tips-and-information.html</t>
        </is>
      </c>
      <c r="G2" s="48" t="n">
        <v>46296</v>
      </c>
      <c r="H2" s="28" t="inlineStr">
        <is>
          <t>Illinois</t>
        </is>
      </c>
      <c r="I2" s="28" t="inlineStr">
        <is>
          <t>Regulator-published</t>
        </is>
      </c>
      <c r="J2" s="28" t="inlineStr">
        <is>
          <t>Primary source</t>
        </is>
      </c>
      <c r="K2" s="48" t="n">
        <v>46296</v>
      </c>
    </row>
    <row r="3">
      <c r="A3" s="28" t="inlineStr">
        <is>
          <t>Coverage</t>
        </is>
      </c>
      <c r="B3" s="28" t="inlineStr">
        <is>
          <t>Other structures</t>
        </is>
      </c>
      <c r="C3" s="28" t="inlineStr">
        <is>
          <t>Covers damage to other structures such as a detached garage, work shed, or fencing</t>
        </is>
      </c>
      <c r="D3" s="28" t="inlineStr">
        <is>
          <t>IDOI homeowner/renter shopping tips</t>
        </is>
      </c>
      <c r="E3" s="28" t="inlineStr">
        <is>
          <t>Illinois Dept of Insurance - Homeowner/Renter Shopping Tips and Information</t>
        </is>
      </c>
      <c r="F3" s="28" t="inlineStr">
        <is>
          <t>https://idoi.illinois.gov/consumers/consumerinsurance/homeownerrenter/shopping-tips-and-information.html</t>
        </is>
      </c>
      <c r="G3" s="48" t="n">
        <v>46296</v>
      </c>
      <c r="H3" s="28" t="inlineStr">
        <is>
          <t>Illinois</t>
        </is>
      </c>
      <c r="I3" s="28" t="inlineStr">
        <is>
          <t>Regulator-published</t>
        </is>
      </c>
      <c r="J3" s="28" t="inlineStr">
        <is>
          <t>Primary source</t>
        </is>
      </c>
      <c r="K3" s="48" t="n">
        <v>46296</v>
      </c>
    </row>
    <row r="4">
      <c r="A4" s="28" t="inlineStr">
        <is>
          <t>Coverage</t>
        </is>
      </c>
      <c r="B4" s="28" t="inlineStr">
        <is>
          <t>Personal property</t>
        </is>
      </c>
      <c r="C4" s="28" t="inlineStr">
        <is>
          <t>Covers damage to or loss of household contents and other personal belongings used, owned, or worn by you and your family</t>
        </is>
      </c>
      <c r="D4" s="28" t="inlineStr">
        <is>
          <t>IDOI homeowner/renter shopping tips</t>
        </is>
      </c>
      <c r="E4" s="28" t="inlineStr">
        <is>
          <t>Illinois Dept of Insurance - Homeowner/Renter Shopping Tips and Information</t>
        </is>
      </c>
      <c r="F4" s="28" t="inlineStr">
        <is>
          <t>https://idoi.illinois.gov/consumers/consumerinsurance/homeownerrenter/shopping-tips-and-information.html</t>
        </is>
      </c>
      <c r="G4" s="48" t="n">
        <v>46296</v>
      </c>
      <c r="H4" s="28" t="inlineStr">
        <is>
          <t>Illinois</t>
        </is>
      </c>
      <c r="I4" s="28" t="inlineStr">
        <is>
          <t>Regulator-published</t>
        </is>
      </c>
      <c r="J4" s="28" t="inlineStr">
        <is>
          <t>Primary source</t>
        </is>
      </c>
      <c r="K4" s="48" t="n">
        <v>46296</v>
      </c>
    </row>
    <row r="5">
      <c r="A5" s="28" t="inlineStr">
        <is>
          <t>Coverage</t>
        </is>
      </c>
      <c r="B5" s="28" t="inlineStr">
        <is>
          <t>Additional living expense</t>
        </is>
      </c>
      <c r="C5" s="28" t="inlineStr">
        <is>
          <t>Covers necessary living costs when the home cannot be occupied due to a covered loss</t>
        </is>
      </c>
      <c r="D5" s="28" t="inlineStr">
        <is>
          <t>IDOI homeowner/renter shopping tips</t>
        </is>
      </c>
      <c r="E5" s="28" t="inlineStr">
        <is>
          <t>Illinois Dept of Insurance - Homeowner/Renter Shopping Tips and Information</t>
        </is>
      </c>
      <c r="F5" s="28" t="inlineStr">
        <is>
          <t>https://idoi.illinois.gov/consumers/consumerinsurance/homeownerrenter/shopping-tips-and-information.html</t>
        </is>
      </c>
      <c r="G5" s="48" t="n">
        <v>46296</v>
      </c>
      <c r="H5" s="28" t="inlineStr">
        <is>
          <t>Illinois</t>
        </is>
      </c>
      <c r="I5" s="28" t="inlineStr">
        <is>
          <t>Regulator-published</t>
        </is>
      </c>
      <c r="J5" s="28" t="inlineStr">
        <is>
          <t>Primary source</t>
        </is>
      </c>
      <c r="K5" s="48" t="n">
        <v>46296</v>
      </c>
    </row>
    <row r="6">
      <c r="A6" s="28" t="inlineStr">
        <is>
          <t>Liability</t>
        </is>
      </c>
      <c r="B6" s="28" t="inlineStr">
        <is>
          <t>Comprehensive personal liability</t>
        </is>
      </c>
      <c r="C6" s="28" t="inlineStr">
        <is>
          <t>Protects against claims arising from accidents to others on property you own or rent</t>
        </is>
      </c>
      <c r="D6" s="28" t="inlineStr">
        <is>
          <t>IDOI homeowner/renter shopping tips</t>
        </is>
      </c>
      <c r="E6" s="28" t="inlineStr">
        <is>
          <t>Illinois Dept of Insurance - Homeowner/Renter Shopping Tips and Information</t>
        </is>
      </c>
      <c r="F6" s="28" t="inlineStr">
        <is>
          <t>https://idoi.illinois.gov/consumers/consumerinsurance/homeownerrenter/shopping-tips-and-information.html</t>
        </is>
      </c>
      <c r="G6" s="48" t="n">
        <v>46296</v>
      </c>
      <c r="H6" s="28" t="inlineStr">
        <is>
          <t>Illinois</t>
        </is>
      </c>
      <c r="I6" s="28" t="inlineStr">
        <is>
          <t>Regulator-published</t>
        </is>
      </c>
      <c r="J6" s="28" t="inlineStr">
        <is>
          <t>Primary source</t>
        </is>
      </c>
      <c r="K6" s="48" t="n">
        <v>46296</v>
      </c>
    </row>
    <row r="7">
      <c r="A7" s="28" t="inlineStr">
        <is>
          <t>Liability</t>
        </is>
      </c>
      <c r="B7" s="28" t="inlineStr">
        <is>
          <t>Medical expense coverage</t>
        </is>
      </c>
      <c r="C7" s="28" t="inlineStr">
        <is>
          <t>Limited to an amount per person and per accident for injuries occurring on your premises</t>
        </is>
      </c>
      <c r="D7" s="28" t="inlineStr">
        <is>
          <t>IDOI homeowner/renter shopping tips</t>
        </is>
      </c>
      <c r="E7" s="28" t="inlineStr">
        <is>
          <t>Illinois Dept of Insurance - Homeowner/Renter Shopping Tips and Information</t>
        </is>
      </c>
      <c r="F7" s="28" t="inlineStr">
        <is>
          <t>https://idoi.illinois.gov/consumers/consumerinsurance/homeownerrenter/shopping-tips-and-information.html</t>
        </is>
      </c>
      <c r="G7" s="48" t="n">
        <v>46296</v>
      </c>
      <c r="H7" s="28" t="inlineStr">
        <is>
          <t>Illinois</t>
        </is>
      </c>
      <c r="I7" s="28" t="inlineStr">
        <is>
          <t>Regulator-published</t>
        </is>
      </c>
      <c r="J7" s="28" t="inlineStr">
        <is>
          <t>Primary source</t>
        </is>
      </c>
      <c r="K7" s="48" t="n">
        <v>46296</v>
      </c>
    </row>
    <row r="8">
      <c r="A8" s="28" t="inlineStr">
        <is>
          <t>Settlement</t>
        </is>
      </c>
      <c r="B8" s="28" t="inlineStr">
        <is>
          <t>Replacement cost vs actual cash value</t>
        </is>
      </c>
      <c r="C8" s="28" t="inlineStr">
        <is>
          <t>Replacement cost rebuilds without a depreciation deduction; actual cash value applies depreciation; it is recommended to insure the home for at least 80% of its replacement value</t>
        </is>
      </c>
      <c r="D8" s="28" t="inlineStr">
        <is>
          <t>IDOI homeowner/renter shopping tips</t>
        </is>
      </c>
      <c r="E8" s="28" t="inlineStr">
        <is>
          <t>Illinois Dept of Insurance - Homeowner/Renter Shopping Tips and Information</t>
        </is>
      </c>
      <c r="F8" s="28" t="inlineStr">
        <is>
          <t>https://idoi.illinois.gov/consumers/consumerinsurance/homeownerrenter/shopping-tips-and-information.html</t>
        </is>
      </c>
      <c r="G8" s="48" t="n">
        <v>46296</v>
      </c>
      <c r="H8" s="28" t="inlineStr">
        <is>
          <t>Illinois</t>
        </is>
      </c>
      <c r="I8" s="28" t="inlineStr">
        <is>
          <t>Regulator-published</t>
        </is>
      </c>
      <c r="J8" s="28" t="inlineStr">
        <is>
          <t>Primary source</t>
        </is>
      </c>
      <c r="K8" s="48" t="n">
        <v>46296</v>
      </c>
    </row>
    <row r="9">
      <c r="A9" s="28" t="inlineStr">
        <is>
          <t>Coverage</t>
        </is>
      </c>
      <c r="B9" s="28" t="inlineStr">
        <is>
          <t>Flood and earthquake exclusion</t>
        </is>
      </c>
      <c r="C9" s="28" t="inlineStr">
        <is>
          <t>Flood and earthquake damage are explicitly not covered by standard homeowners policies</t>
        </is>
      </c>
      <c r="D9" s="28" t="inlineStr">
        <is>
          <t>IDOI homeowner/renter shopping tips</t>
        </is>
      </c>
      <c r="E9" s="28" t="inlineStr">
        <is>
          <t>Illinois Dept of Insurance - Homeowner/Renter Shopping Tips and Information</t>
        </is>
      </c>
      <c r="F9" s="28" t="inlineStr">
        <is>
          <t>https://idoi.illinois.gov/consumers/consumerinsurance/homeownerrenter/shopping-tips-and-information.html</t>
        </is>
      </c>
      <c r="G9" s="48" t="n">
        <v>46296</v>
      </c>
      <c r="H9" s="28" t="inlineStr">
        <is>
          <t>Illinois</t>
        </is>
      </c>
      <c r="I9" s="28" t="inlineStr">
        <is>
          <t>Regulator-published</t>
        </is>
      </c>
      <c r="J9" s="28" t="inlineStr">
        <is>
          <t>Primary source</t>
        </is>
      </c>
      <c r="K9" s="48" t="n">
        <v>46296</v>
      </c>
    </row>
    <row r="10">
      <c r="A10" s="28" t="inlineStr">
        <is>
          <t>Deductibles</t>
        </is>
      </c>
      <c r="B10" s="28" t="inlineStr">
        <is>
          <t>Typical deductible range</t>
        </is>
      </c>
      <c r="C10" s="28" t="inlineStr">
        <is>
          <t>Typically $100 to $250 or more</t>
        </is>
      </c>
      <c r="D10" s="28" t="inlineStr">
        <is>
          <t>IDOI homeowner/renter shopping tips</t>
        </is>
      </c>
      <c r="E10" s="28" t="inlineStr">
        <is>
          <t>Illinois Dept of Insurance - Homeowner/Renter Shopping Tips and Information</t>
        </is>
      </c>
      <c r="F10" s="28" t="inlineStr">
        <is>
          <t>https://idoi.illinois.gov/consumers/consumerinsurance/homeownerrenter/shopping-tips-and-information.html</t>
        </is>
      </c>
      <c r="G10" s="48" t="n">
        <v>46296</v>
      </c>
      <c r="H10" s="28" t="inlineStr">
        <is>
          <t>Illinois</t>
        </is>
      </c>
      <c r="I10" s="28" t="inlineStr">
        <is>
          <t>Regulator-published</t>
        </is>
      </c>
      <c r="J10" s="28" t="inlineStr">
        <is>
          <t>Primary source</t>
        </is>
      </c>
      <c r="K10" s="48" t="n">
        <v>46296</v>
      </c>
    </row>
    <row r="11">
      <c r="A11" s="28" t="inlineStr">
        <is>
          <t>Discounts</t>
        </is>
      </c>
      <c r="B11" s="28" t="inlineStr">
        <is>
          <t>Available discounts</t>
        </is>
      </c>
      <c r="C11" s="28" t="inlineStr">
        <is>
          <t>Insurers may offer discounts for bundling auto coverage, home security systems, or disaster-proofing measures</t>
        </is>
      </c>
      <c r="D11" s="28" t="inlineStr">
        <is>
          <t>IDOI homeowner/renter shopping tips</t>
        </is>
      </c>
      <c r="E11" s="28" t="inlineStr">
        <is>
          <t>Illinois Dept of Insurance - Homeowner/Renter Shopping Tips and Information</t>
        </is>
      </c>
      <c r="F11" s="28" t="inlineStr">
        <is>
          <t>https://idoi.illinois.gov/consumers/consumerinsurance/homeownerrenter/shopping-tips-and-information.html</t>
        </is>
      </c>
      <c r="G11" s="48" t="n">
        <v>46296</v>
      </c>
      <c r="H11" s="28" t="inlineStr">
        <is>
          <t>Illinois</t>
        </is>
      </c>
      <c r="I11" s="28" t="inlineStr">
        <is>
          <t>Regulator-published</t>
        </is>
      </c>
      <c r="J11" s="28" t="inlineStr">
        <is>
          <t>Primary source</t>
        </is>
      </c>
      <c r="K11" s="48" t="n">
        <v>46296</v>
      </c>
    </row>
    <row r="12">
      <c r="A12" s="28" t="inlineStr">
        <is>
          <t>Illinois FAIR Plan</t>
        </is>
      </c>
      <c r="B12" s="28" t="inlineStr">
        <is>
          <t>What it is</t>
        </is>
      </c>
      <c r="C12" s="28" t="inlineStr">
        <is>
          <t>The Illinois FAIR Plan Association's mission is to make basic property insurance available to qualified applicants who have not been able to obtain property insurance; it offers Dwelling Property and Homeowners policies</t>
        </is>
      </c>
      <c r="D12" s="28" t="inlineStr">
        <is>
          <t>Illinois FAIR Plan - Important Insurance Information</t>
        </is>
      </c>
      <c r="E12" s="28" t="inlineStr">
        <is>
          <t>Illinois FAIR Plan Association - Important Insurance Information</t>
        </is>
      </c>
      <c r="F12" s="28" t="inlineStr">
        <is>
          <t>https://www.illinoisfairplan.com/important-insurance-information.html</t>
        </is>
      </c>
      <c r="G12" s="48" t="n">
        <v>46296</v>
      </c>
      <c r="H12" s="28" t="inlineStr">
        <is>
          <t>Illinois</t>
        </is>
      </c>
      <c r="I12" s="28" t="inlineStr">
        <is>
          <t>Regulator-published</t>
        </is>
      </c>
      <c r="J12" s="28" t="inlineStr">
        <is>
          <t>Primary source</t>
        </is>
      </c>
      <c r="K12" s="48" t="n">
        <v>46296</v>
      </c>
    </row>
    <row r="13">
      <c r="A13" s="28" t="inlineStr">
        <is>
          <t>Illinois FAIR Plan</t>
        </is>
      </c>
      <c r="B13" s="28" t="inlineStr">
        <is>
          <t>What it covers</t>
        </is>
      </c>
      <c r="C13" s="28" t="inlineStr">
        <is>
          <t>Fire, lightning, wind, hail, explosion, smoke, vehicles, aircraft, and vandalism and malicious mischief; homeowners policies additionally provide burglary, theft and personal liability coverage</t>
        </is>
      </c>
      <c r="D13" s="28" t="inlineStr">
        <is>
          <t>Illinois FAIR Plan - Consumers page</t>
        </is>
      </c>
      <c r="E13" s="28" t="inlineStr">
        <is>
          <t>Illinois FAIR Plan Association - Consumers</t>
        </is>
      </c>
      <c r="F13" s="28" t="inlineStr">
        <is>
          <t>https://www.illinoisfairplan.com/consumers.html</t>
        </is>
      </c>
      <c r="G13" s="48" t="n">
        <v>46296</v>
      </c>
      <c r="H13" s="28" t="inlineStr">
        <is>
          <t>Illinois</t>
        </is>
      </c>
      <c r="I13" s="28" t="inlineStr">
        <is>
          <t>Regulator-published</t>
        </is>
      </c>
      <c r="J13" s="28" t="inlineStr">
        <is>
          <t>Primary source</t>
        </is>
      </c>
      <c r="K13" s="48" t="n">
        <v>46296</v>
      </c>
      <c r="L13" s="28" t="inlineStr">
        <is>
          <t>Unlike California's FAIR Plan or New York's NYPIUA, Illinois's FAIR Plan homeowners form includes theft and liability coverage.</t>
        </is>
      </c>
    </row>
    <row r="14">
      <c r="A14" s="28" t="inlineStr">
        <is>
          <t>Illinois FAIR Plan</t>
        </is>
      </c>
      <c r="B14" s="28" t="inlineStr">
        <is>
          <t>Earthquake endorsement</t>
        </is>
      </c>
      <c r="C14" s="28" t="inlineStr">
        <is>
          <t>Earthquake coverage is available, upon request, as an endorsement to the Dwelling Property and Homeowners policy, with a standard 5% deductible; not available for Commercial Property</t>
        </is>
      </c>
      <c r="D14" s="28" t="inlineStr">
        <is>
          <t>Illinois FAIR Plan - Consumers page</t>
        </is>
      </c>
      <c r="E14" s="28" t="inlineStr">
        <is>
          <t>Illinois FAIR Plan Association - Consumers</t>
        </is>
      </c>
      <c r="F14" s="28" t="inlineStr">
        <is>
          <t>https://www.illinoisfairplan.com/consumers.html</t>
        </is>
      </c>
      <c r="G14" s="48" t="n">
        <v>46296</v>
      </c>
      <c r="H14" s="28" t="inlineStr">
        <is>
          <t>Illinois</t>
        </is>
      </c>
      <c r="I14" s="28" t="inlineStr">
        <is>
          <t>Regulator-published</t>
        </is>
      </c>
      <c r="J14" s="28" t="inlineStr">
        <is>
          <t>Primary source</t>
        </is>
      </c>
      <c r="K14" s="48" t="n">
        <v>46296</v>
      </c>
    </row>
    <row r="15">
      <c r="A15" s="28" t="inlineStr">
        <is>
          <t>Illinois FAIR Plan</t>
        </is>
      </c>
      <c r="B15" s="28" t="inlineStr">
        <is>
          <t>Eligibility</t>
        </is>
      </c>
      <c r="C15" s="28" t="inlineStr">
        <is>
          <t>The applicant must be unable to buy insurance through the standard market for reasons beyond their control, and the property must meet reasonable safety standards verified by a representative inspection</t>
        </is>
      </c>
      <c r="D15" s="28" t="inlineStr">
        <is>
          <t>Illinois FAIR Plan - Consumers page</t>
        </is>
      </c>
      <c r="E15" s="28" t="inlineStr">
        <is>
          <t>Illinois FAIR Plan Association - Consumers</t>
        </is>
      </c>
      <c r="F15" s="28" t="inlineStr">
        <is>
          <t>https://www.illinoisfairplan.com/consumers.html</t>
        </is>
      </c>
      <c r="G15" s="48" t="n">
        <v>46296</v>
      </c>
      <c r="H15" s="28" t="inlineStr">
        <is>
          <t>Illinois</t>
        </is>
      </c>
      <c r="I15" s="28" t="inlineStr">
        <is>
          <t>Regulator-published</t>
        </is>
      </c>
      <c r="J15" s="28" t="inlineStr">
        <is>
          <t>Primary source</t>
        </is>
      </c>
      <c r="K15" s="48" t="n">
        <v>46296</v>
      </c>
    </row>
    <row r="16">
      <c r="A16" s="28" t="inlineStr">
        <is>
          <t>Non-renewal</t>
        </is>
      </c>
      <c r="B16" s="28" t="inlineStr">
        <is>
          <t>Notice period for policies active less than 5 years</t>
        </is>
      </c>
      <c r="C16" s="28" t="inlineStr">
        <is>
          <t>At least 30 days before the nonrenewal date</t>
        </is>
      </c>
      <c r="D16" s="28" t="inlineStr">
        <is>
          <t>IDOI non-renewal guide</t>
        </is>
      </c>
      <c r="E16" s="28" t="inlineStr">
        <is>
          <t>Illinois Dept of Insurance - If Your Homeowners Insurance Policy is Non-Renewed</t>
        </is>
      </c>
      <c r="F16" s="28" t="inlineStr">
        <is>
          <t>https://idoi.illinois.gov/consumers/consumerinsurance/homeownerrenter/if-your-homeowners-insurance-policy-is-non-renewed.html</t>
        </is>
      </c>
      <c r="G16" s="48" t="n">
        <v>46296</v>
      </c>
      <c r="H16" s="28" t="inlineStr">
        <is>
          <t>Illinois</t>
        </is>
      </c>
      <c r="I16" s="28" t="inlineStr">
        <is>
          <t>Regulator-published</t>
        </is>
      </c>
      <c r="J16" s="28" t="inlineStr">
        <is>
          <t>Primary source</t>
        </is>
      </c>
      <c r="K16" s="48" t="n">
        <v>46296</v>
      </c>
    </row>
    <row r="17">
      <c r="A17" s="28" t="inlineStr">
        <is>
          <t>Non-renewal</t>
        </is>
      </c>
      <c r="B17" s="28" t="inlineStr">
        <is>
          <t>Prohibited reasons</t>
        </is>
      </c>
      <c r="C17" s="28" t="inlineStr">
        <is>
          <t>A company cannot nonrenew based on the age or location of the property, or the age, gender, race, color, ancestry, marital status, or occupation of the occupants, or solely on credit report information</t>
        </is>
      </c>
      <c r="D17" s="28" t="inlineStr">
        <is>
          <t>IDOI non-renewal guide</t>
        </is>
      </c>
      <c r="E17" s="28" t="inlineStr">
        <is>
          <t>Illinois Dept of Insurance - If Your Homeowners Insurance Policy is Non-Renewed</t>
        </is>
      </c>
      <c r="F17" s="28" t="inlineStr">
        <is>
          <t>https://idoi.illinois.gov/consumers/consumerinsurance/homeownerrenter/if-your-homeowners-insurance-policy-is-non-renewed.html</t>
        </is>
      </c>
      <c r="G17" s="48" t="n">
        <v>46296</v>
      </c>
      <c r="H17" s="28" t="inlineStr">
        <is>
          <t>Illinois</t>
        </is>
      </c>
      <c r="I17" s="28" t="inlineStr">
        <is>
          <t>Regulator-published</t>
        </is>
      </c>
      <c r="J17" s="28" t="inlineStr">
        <is>
          <t>Primary source</t>
        </is>
      </c>
      <c r="K17" s="48" t="n">
        <v>46296</v>
      </c>
    </row>
    <row r="18">
      <c r="A18" s="28" t="inlineStr">
        <is>
          <t>Non-renewal</t>
        </is>
      </c>
      <c r="B18" s="28" t="inlineStr">
        <is>
          <t>Hate crime protection</t>
        </is>
      </c>
      <c r="C18" s="28" t="inlineStr">
        <is>
          <t>Nonrenewal is prohibited solely on the basis that one or more claims resulted from a hate crime, if documented by a police report (effective January 1, 2003)</t>
        </is>
      </c>
      <c r="D18" s="28" t="inlineStr">
        <is>
          <t>IDOI non-renewal guide</t>
        </is>
      </c>
      <c r="E18" s="28" t="inlineStr">
        <is>
          <t>Illinois Dept of Insurance - If Your Homeowners Insurance Policy is Non-Renewed</t>
        </is>
      </c>
      <c r="F18" s="28" t="inlineStr">
        <is>
          <t>https://idoi.illinois.gov/consumers/consumerinsurance/homeownerrenter/if-your-homeowners-insurance-policy-is-non-renewed.html</t>
        </is>
      </c>
      <c r="G18" s="48" t="n">
        <v>46296</v>
      </c>
      <c r="H18" s="28" t="inlineStr">
        <is>
          <t>Illinois</t>
        </is>
      </c>
      <c r="I18" s="28" t="inlineStr">
        <is>
          <t>Regulator-published</t>
        </is>
      </c>
      <c r="J18" s="28" t="inlineStr">
        <is>
          <t>Primary source</t>
        </is>
      </c>
      <c r="K18" s="48" t="n">
        <v>46296</v>
      </c>
    </row>
    <row r="19">
      <c r="A19" s="28" t="inlineStr">
        <is>
          <t>Non-renewal</t>
        </is>
      </c>
      <c r="B19" s="28" t="inlineStr">
        <is>
          <t>Notice content requirements</t>
        </is>
      </c>
      <c r="C19" s="28" t="inlineStr">
        <is>
          <t>The notice must explain the specific reason(s) for nonrenewal with a factual basis (not vague terms), and must inform the policyholder of appeal rights and FAIR Plan eligibility</t>
        </is>
      </c>
      <c r="D19" s="28" t="inlineStr">
        <is>
          <t>IDOI non-renewal guide</t>
        </is>
      </c>
      <c r="E19" s="28" t="inlineStr">
        <is>
          <t>Illinois Dept of Insurance - If Your Homeowners Insurance Policy is Non-Renewed</t>
        </is>
      </c>
      <c r="F19" s="28" t="inlineStr">
        <is>
          <t>https://idoi.illinois.gov/consumers/consumerinsurance/homeownerrenter/if-your-homeowners-insurance-policy-is-non-renewed.html</t>
        </is>
      </c>
      <c r="G19" s="48" t="n">
        <v>46296</v>
      </c>
      <c r="H19" s="28" t="inlineStr">
        <is>
          <t>Illinois</t>
        </is>
      </c>
      <c r="I19" s="28" t="inlineStr">
        <is>
          <t>Regulator-published</t>
        </is>
      </c>
      <c r="J19" s="28" t="inlineStr">
        <is>
          <t>Primary source</t>
        </is>
      </c>
      <c r="K19" s="48" t="n">
        <v>46296</v>
      </c>
    </row>
    <row r="20">
      <c r="A20" s="28" t="inlineStr">
        <is>
          <t>Non-renewal</t>
        </is>
      </c>
      <c r="B20" s="28" t="inlineStr">
        <is>
          <t>Notice period for policies active 5 or more years</t>
        </is>
      </c>
      <c r="C20" s="28" t="inlineStr">
        <is>
          <t>A 30-day notice is allowed only for two reasons (the policy was obtained through misleading or incorrect information, or a significant change has occurred creating a measurably greater chance of loss); a 60-day notice is required for almost any other reason; the same prohibitions on age, location, occupant demographics, and credit-based denial still apply</t>
        </is>
      </c>
      <c r="D20" s="28" t="inlineStr">
        <is>
          <t>IDOI non-renewal guide</t>
        </is>
      </c>
      <c r="E20" s="28" t="inlineStr">
        <is>
          <t>Illinois Dept of Insurance - If Your Homeowners Insurance Policy is Non-Renewed</t>
        </is>
      </c>
      <c r="F20" s="28" t="inlineStr">
        <is>
          <t>https://idoi.illinois.gov/consumers/consumerinsurance/homeownerrenter/if-your-homeowners-insurance-policy-is-non-renewed.html</t>
        </is>
      </c>
      <c r="G20" s="48" t="n">
        <v>46296</v>
      </c>
      <c r="H20" s="28" t="inlineStr">
        <is>
          <t>Illinois</t>
        </is>
      </c>
      <c r="I20" s="28" t="inlineStr">
        <is>
          <t>Regulator-published</t>
        </is>
      </c>
      <c r="J20" s="28" t="inlineStr">
        <is>
          <t>Primary source</t>
        </is>
      </c>
      <c r="K20" s="48" t="n">
        <v>46296</v>
      </c>
    </row>
    <row r="21">
      <c r="A21" s="28" t="inlineStr">
        <is>
          <t>Rating factors</t>
        </is>
      </c>
      <c r="B21" s="28" t="inlineStr">
        <is>
          <t>Credit-based insurance score restrictions</t>
        </is>
      </c>
      <c r="C21" s="28" t="inlineStr">
        <is>
          <t>Credit-based insurance scores used for auto and home insurance may not consider race, color, national origin, religion, gender, marital status, age, income, occupation or employment history, location of residence, any interest rate being charged, child/family support obligations or rental agreements, or certain credit inquiries (account review, employment, promotional) or credit counseling participation; insurers cannot base renewal rates solely on credit information; an insurer must use a credit report or score obtained within 90 days of writing or renewing a policy to take an adverse action; consumers may request premium reconsideration after an extraordinary life circumstance such as a catastrophic event, job loss, or serious illness</t>
        </is>
      </c>
      <c r="D21" s="28" t="inlineStr">
        <is>
          <t>215 ILCS 157 (Use of Credit Information in Personal Insurance Act)</t>
        </is>
      </c>
      <c r="E21" s="28" t="inlineStr">
        <is>
          <t>Illinois Dept of Insurance - Credit: How Insurers Use It</t>
        </is>
      </c>
      <c r="F21" s="28" t="inlineStr">
        <is>
          <t>https://idoi.illinois.gov/consumers/consumerinsurance/credit.html</t>
        </is>
      </c>
      <c r="G21" s="48" t="n">
        <v>46296</v>
      </c>
      <c r="H21" s="28" t="inlineStr">
        <is>
          <t>Illinois</t>
        </is>
      </c>
      <c r="I21" s="28" t="inlineStr">
        <is>
          <t>Regulator-published</t>
        </is>
      </c>
      <c r="J21" s="28" t="inlineStr">
        <is>
          <t>Primary source</t>
        </is>
      </c>
      <c r="K21" s="48" t="n">
        <v>46296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Minimum liability</t>
        </is>
      </c>
      <c r="B2" s="28" t="inlineStr">
        <is>
          <t>Bodily injury per person</t>
        </is>
      </c>
      <c r="C2" s="28" t="inlineStr">
        <is>
          <t>$15,000</t>
        </is>
      </c>
      <c r="D2" s="28" t="inlineStr">
        <is>
          <t>IDOI auto insurance guide</t>
        </is>
      </c>
      <c r="E2" s="28" t="inlineStr">
        <is>
          <t>Pennsylvania Insurance Department - Automobile Insurance Guide</t>
        </is>
      </c>
      <c r="F2" s="28" t="inlineStr">
        <is>
          <t>https://www.pa.gov/content/dam/copapwp-pagov/en/insurance/documents/consumer-help-center/learn-about-insurance/auto-insurance-guide.pdf</t>
        </is>
      </c>
      <c r="G2" s="48" t="n">
        <v>46296</v>
      </c>
      <c r="H2" s="28" t="inlineStr">
        <is>
          <t>Pennsylvania</t>
        </is>
      </c>
      <c r="I2" s="28" t="inlineStr">
        <is>
          <t>Regulator-published</t>
        </is>
      </c>
      <c r="J2" s="28" t="inlineStr">
        <is>
          <t>Primary source</t>
        </is>
      </c>
      <c r="K2" s="48" t="n">
        <v>46296</v>
      </c>
    </row>
    <row r="3">
      <c r="A3" s="28" t="inlineStr">
        <is>
          <t>Minimum liability</t>
        </is>
      </c>
      <c r="B3" s="28" t="inlineStr">
        <is>
          <t>Bodily injury per accident</t>
        </is>
      </c>
      <c r="C3" s="28" t="inlineStr">
        <is>
          <t>$30,000</t>
        </is>
      </c>
      <c r="D3" s="28" t="inlineStr">
        <is>
          <t>IDOI auto insurance guide</t>
        </is>
      </c>
      <c r="E3" s="28" t="inlineStr">
        <is>
          <t>Pennsylvania Insurance Department - Automobile Insurance Guide</t>
        </is>
      </c>
      <c r="F3" s="28" t="inlineStr">
        <is>
          <t>https://www.pa.gov/content/dam/copapwp-pagov/en/insurance/documents/consumer-help-center/learn-about-insurance/auto-insurance-guide.pdf</t>
        </is>
      </c>
      <c r="G3" s="48" t="n">
        <v>46296</v>
      </c>
      <c r="H3" s="28" t="inlineStr">
        <is>
          <t>Pennsylvania</t>
        </is>
      </c>
      <c r="I3" s="28" t="inlineStr">
        <is>
          <t>Regulator-published</t>
        </is>
      </c>
      <c r="J3" s="28" t="inlineStr">
        <is>
          <t>Primary source</t>
        </is>
      </c>
      <c r="K3" s="48" t="n">
        <v>46296</v>
      </c>
    </row>
    <row r="4">
      <c r="A4" s="28" t="inlineStr">
        <is>
          <t>Minimum liability</t>
        </is>
      </c>
      <c r="B4" s="28" t="inlineStr">
        <is>
          <t>Property damage</t>
        </is>
      </c>
      <c r="C4" s="28" t="inlineStr">
        <is>
          <t>$5,000; some companies offer a combined single limit of $35,000 which meets both the bodily injury and property damage minimums</t>
        </is>
      </c>
      <c r="D4" s="28" t="inlineStr">
        <is>
          <t>IDOI auto insurance guide</t>
        </is>
      </c>
      <c r="E4" s="28" t="inlineStr">
        <is>
          <t>Pennsylvania Insurance Department - Automobile Insurance Guide</t>
        </is>
      </c>
      <c r="F4" s="28" t="inlineStr">
        <is>
          <t>https://www.pa.gov/content/dam/copapwp-pagov/en/insurance/documents/consumer-help-center/learn-about-insurance/auto-insurance-guide.pdf</t>
        </is>
      </c>
      <c r="G4" s="48" t="n">
        <v>46296</v>
      </c>
      <c r="H4" s="28" t="inlineStr">
        <is>
          <t>Pennsylvania</t>
        </is>
      </c>
      <c r="I4" s="28" t="inlineStr">
        <is>
          <t>Regulator-published</t>
        </is>
      </c>
      <c r="J4" s="28" t="inlineStr">
        <is>
          <t>Primary source</t>
        </is>
      </c>
      <c r="K4" s="48" t="n">
        <v>46296</v>
      </c>
    </row>
    <row r="5">
      <c r="A5" s="28" t="inlineStr">
        <is>
          <t>Coverage</t>
        </is>
      </c>
      <c r="B5" s="28" t="inlineStr">
        <is>
          <t>Medical Benefits (required)</t>
        </is>
      </c>
      <c r="C5" s="28" t="inlineStr">
        <is>
          <t>Required coverage; pays medical bills for the policyholder and others covered by the policy regardless of fault; minimum limit is $5,000; higher limits available</t>
        </is>
      </c>
      <c r="D5" s="28" t="inlineStr">
        <is>
          <t>IDOI auto insurance guide</t>
        </is>
      </c>
      <c r="E5" s="28" t="inlineStr">
        <is>
          <t>Pennsylvania Insurance Department - Automobile Insurance Guide</t>
        </is>
      </c>
      <c r="F5" s="28" t="inlineStr">
        <is>
          <t>https://www.pa.gov/content/dam/copapwp-pagov/en/insurance/documents/consumer-help-center/learn-about-insurance/auto-insurance-guide.pdf</t>
        </is>
      </c>
      <c r="G5" s="48" t="n">
        <v>46296</v>
      </c>
      <c r="H5" s="28" t="inlineStr">
        <is>
          <t>Pennsylvania</t>
        </is>
      </c>
      <c r="I5" s="28" t="inlineStr">
        <is>
          <t>Regulator-published</t>
        </is>
      </c>
      <c r="J5" s="28" t="inlineStr">
        <is>
          <t>Primary source</t>
        </is>
      </c>
      <c r="K5" s="48" t="n">
        <v>46296</v>
      </c>
    </row>
    <row r="6">
      <c r="A6" s="28" t="inlineStr">
        <is>
          <t>Full tort / limited tort</t>
        </is>
      </c>
      <c r="B6" s="28" t="inlineStr">
        <is>
          <t>Default and effect</t>
        </is>
      </c>
      <c r="C6" s="28" t="inlineStr">
        <is>
          <t>If a policyholder does not specially elect limited tort, they are deemed to have elected full tort (unrestricted right to sue). Limited tort offers significant premium savings but restricts recovery for damages such as pain and suffering unless the injury meets one of the exceptions in the law</t>
        </is>
      </c>
      <c r="D6" s="28" t="inlineStr">
        <is>
          <t>IDOI auto insurance guide</t>
        </is>
      </c>
      <c r="E6" s="28" t="inlineStr">
        <is>
          <t>Pennsylvania Insurance Department - Automobile Insurance Guide</t>
        </is>
      </c>
      <c r="F6" s="28" t="inlineStr">
        <is>
          <t>https://www.pa.gov/content/dam/copapwp-pagov/en/insurance/documents/consumer-help-center/learn-about-insurance/auto-insurance-guide.pdf</t>
        </is>
      </c>
      <c r="G6" s="48" t="n">
        <v>46296</v>
      </c>
      <c r="H6" s="28" t="inlineStr">
        <is>
          <t>Pennsylvania</t>
        </is>
      </c>
      <c r="I6" s="28" t="inlineStr">
        <is>
          <t>Regulator-published</t>
        </is>
      </c>
      <c r="J6" s="28" t="inlineStr">
        <is>
          <t>Primary source</t>
        </is>
      </c>
      <c r="K6" s="48" t="n">
        <v>46296</v>
      </c>
    </row>
    <row r="7">
      <c r="A7" s="28" t="inlineStr">
        <is>
          <t>Coverage</t>
        </is>
      </c>
      <c r="B7" s="28" t="inlineStr">
        <is>
          <t>Uninsured motorist (UM)</t>
        </is>
      </c>
      <c r="C7" s="28" t="inlineStr">
        <is>
          <t>Optional; applies to the policyholder, household relatives, and passengers if injured by an at-fault uninsured motorist or hit-and-run driver; does not cover property damage</t>
        </is>
      </c>
      <c r="D7" s="28" t="inlineStr">
        <is>
          <t>IDOI auto insurance guide</t>
        </is>
      </c>
      <c r="E7" s="28" t="inlineStr">
        <is>
          <t>Pennsylvania Insurance Department - Automobile Insurance Guide</t>
        </is>
      </c>
      <c r="F7" s="28" t="inlineStr">
        <is>
          <t>https://www.pa.gov/content/dam/copapwp-pagov/en/insurance/documents/consumer-help-center/learn-about-insurance/auto-insurance-guide.pdf</t>
        </is>
      </c>
      <c r="G7" s="48" t="n">
        <v>46296</v>
      </c>
      <c r="H7" s="28" t="inlineStr">
        <is>
          <t>Pennsylvania</t>
        </is>
      </c>
      <c r="I7" s="28" t="inlineStr">
        <is>
          <t>Regulator-published</t>
        </is>
      </c>
      <c r="J7" s="28" t="inlineStr">
        <is>
          <t>Primary source</t>
        </is>
      </c>
      <c r="K7" s="48" t="n">
        <v>46296</v>
      </c>
    </row>
    <row r="8">
      <c r="A8" s="28" t="inlineStr">
        <is>
          <t>Coverage</t>
        </is>
      </c>
      <c r="B8" s="28" t="inlineStr">
        <is>
          <t>Underinsured motorist (UIM)</t>
        </is>
      </c>
      <c r="C8" s="28" t="inlineStr">
        <is>
          <t>Optional; applies to the policyholder, household relatives, and passengers if injured by an at-fault motorist without enough insurance to pay the claim; does not cover property damage</t>
        </is>
      </c>
      <c r="D8" s="28" t="inlineStr">
        <is>
          <t>IDOI auto insurance guide</t>
        </is>
      </c>
      <c r="E8" s="28" t="inlineStr">
        <is>
          <t>Pennsylvania Insurance Department - Automobile Insurance Guide</t>
        </is>
      </c>
      <c r="F8" s="28" t="inlineStr">
        <is>
          <t>https://www.pa.gov/content/dam/copapwp-pagov/en/insurance/documents/consumer-help-center/learn-about-insurance/auto-insurance-guide.pdf</t>
        </is>
      </c>
      <c r="G8" s="48" t="n">
        <v>46296</v>
      </c>
      <c r="H8" s="28" t="inlineStr">
        <is>
          <t>Pennsylvania</t>
        </is>
      </c>
      <c r="I8" s="28" t="inlineStr">
        <is>
          <t>Regulator-published</t>
        </is>
      </c>
      <c r="J8" s="28" t="inlineStr">
        <is>
          <t>Primary source</t>
        </is>
      </c>
      <c r="K8" s="48" t="n">
        <v>46296</v>
      </c>
    </row>
    <row r="9">
      <c r="A9" s="28" t="inlineStr">
        <is>
          <t>Coverage</t>
        </is>
      </c>
      <c r="B9" s="28" t="inlineStr">
        <is>
          <t>Stacking of UM/UIM</t>
        </is>
      </c>
      <c r="C9" s="28" t="inlineStr">
        <is>
          <t>By law, stacked UM/UIM coverage (multiplying the limit by the number of covered vehicles, or combining coverage from more than one policy) applies unless the policyholder rejects it; rejecting stacked coverage lowers the premium</t>
        </is>
      </c>
      <c r="D9" s="28" t="inlineStr">
        <is>
          <t>IDOI auto insurance guide</t>
        </is>
      </c>
      <c r="E9" s="28" t="inlineStr">
        <is>
          <t>Pennsylvania Insurance Department - Automobile Insurance Guide</t>
        </is>
      </c>
      <c r="F9" s="28" t="inlineStr">
        <is>
          <t>https://www.pa.gov/content/dam/copapwp-pagov/en/insurance/documents/consumer-help-center/learn-about-insurance/auto-insurance-guide.pdf</t>
        </is>
      </c>
      <c r="G9" s="48" t="n">
        <v>46296</v>
      </c>
      <c r="H9" s="28" t="inlineStr">
        <is>
          <t>Pennsylvania</t>
        </is>
      </c>
      <c r="I9" s="28" t="inlineStr">
        <is>
          <t>Regulator-published</t>
        </is>
      </c>
      <c r="J9" s="28" t="inlineStr">
        <is>
          <t>Primary source</t>
        </is>
      </c>
      <c r="K9" s="48" t="n">
        <v>46296</v>
      </c>
    </row>
    <row r="10">
      <c r="A10" s="28" t="inlineStr">
        <is>
          <t>Coverage</t>
        </is>
      </c>
      <c r="B10" s="28" t="inlineStr">
        <is>
          <t>Collision deductible default</t>
        </is>
      </c>
      <c r="C10" s="28" t="inlineStr">
        <is>
          <t>By Pennsylvania law, the insurance company applies a $500 collision deductible unless the policyholder requests a lower amount</t>
        </is>
      </c>
      <c r="D10" s="28" t="inlineStr">
        <is>
          <t>IDOI auto insurance guide</t>
        </is>
      </c>
      <c r="E10" s="28" t="inlineStr">
        <is>
          <t>Pennsylvania Insurance Department - Automobile Insurance Guide</t>
        </is>
      </c>
      <c r="F10" s="28" t="inlineStr">
        <is>
          <t>https://www.pa.gov/content/dam/copapwp-pagov/en/insurance/documents/consumer-help-center/learn-about-insurance/auto-insurance-guide.pdf</t>
        </is>
      </c>
      <c r="G10" s="48" t="n">
        <v>46296</v>
      </c>
      <c r="H10" s="28" t="inlineStr">
        <is>
          <t>Pennsylvania</t>
        </is>
      </c>
      <c r="I10" s="28" t="inlineStr">
        <is>
          <t>Regulator-published</t>
        </is>
      </c>
      <c r="J10" s="28" t="inlineStr">
        <is>
          <t>Primary source</t>
        </is>
      </c>
      <c r="K10" s="48" t="n">
        <v>46296</v>
      </c>
    </row>
    <row r="11">
      <c r="A11" s="28" t="inlineStr">
        <is>
          <t>Coverage</t>
        </is>
      </c>
      <c r="B11" s="28" t="inlineStr">
        <is>
          <t>Extraordinary Medical Benefits</t>
        </is>
      </c>
      <c r="C11" s="28" t="inlineStr">
        <is>
          <t>Optional; pays medical and rehabilitation expenses that exceed $100,000, up to a maximum limit of $1.1 million</t>
        </is>
      </c>
      <c r="D11" s="28" t="inlineStr">
        <is>
          <t>IDOI auto insurance guide</t>
        </is>
      </c>
      <c r="E11" s="28" t="inlineStr">
        <is>
          <t>Pennsylvania Insurance Department - Automobile Insurance Guide</t>
        </is>
      </c>
      <c r="F11" s="28" t="inlineStr">
        <is>
          <t>https://www.pa.gov/content/dam/copapwp-pagov/en/insurance/documents/consumer-help-center/learn-about-insurance/auto-insurance-guide.pdf</t>
        </is>
      </c>
      <c r="G11" s="48" t="n">
        <v>46296</v>
      </c>
      <c r="H11" s="28" t="inlineStr">
        <is>
          <t>Pennsylvania</t>
        </is>
      </c>
      <c r="I11" s="28" t="inlineStr">
        <is>
          <t>Regulator-published</t>
        </is>
      </c>
      <c r="J11" s="28" t="inlineStr">
        <is>
          <t>Primary source</t>
        </is>
      </c>
      <c r="K11" s="48" t="n">
        <v>46296</v>
      </c>
    </row>
    <row r="12">
      <c r="A12" s="28" t="inlineStr">
        <is>
          <t>Discounts</t>
        </is>
      </c>
      <c r="B12" s="28" t="inlineStr">
        <is>
          <t>Mature driver discount (required)</t>
        </is>
      </c>
      <c r="C12" s="28" t="inlineStr">
        <is>
          <t>Mandated by law: insurers must provide at least a 5% premium discount for each vehicle on a policy where all named insureds are 55 or older and have completed a PennDOT-approved driver improvement course; the course must be retaken every 3 years, and the discount can be lost if the insured has a chargeable accident, a moving-violation conviction, or a DUI conviction/ARD within 3 years of completion</t>
        </is>
      </c>
      <c r="D12" s="28" t="inlineStr">
        <is>
          <t>IDOI auto insurance guide</t>
        </is>
      </c>
      <c r="E12" s="28" t="inlineStr">
        <is>
          <t>Pennsylvania Insurance Department - Automobile Insurance Guide</t>
        </is>
      </c>
      <c r="F12" s="28" t="inlineStr">
        <is>
          <t>https://www.pa.gov/content/dam/copapwp-pagov/en/insurance/documents/consumer-help-center/learn-about-insurance/auto-insurance-guide.pdf</t>
        </is>
      </c>
      <c r="G12" s="48" t="n">
        <v>46296</v>
      </c>
      <c r="H12" s="28" t="inlineStr">
        <is>
          <t>Pennsylvania</t>
        </is>
      </c>
      <c r="I12" s="28" t="inlineStr">
        <is>
          <t>Regulator-published</t>
        </is>
      </c>
      <c r="J12" s="28" t="inlineStr">
        <is>
          <t>Primary source</t>
        </is>
      </c>
      <c r="K12" s="48" t="n">
        <v>46296</v>
      </c>
    </row>
    <row r="13">
      <c r="A13" s="28" t="inlineStr">
        <is>
          <t>Rating factors</t>
        </is>
      </c>
      <c r="B13" s="28" t="inlineStr">
        <is>
          <t>Rate-setting anti-discrimination</t>
        </is>
      </c>
      <c r="C13" s="28" t="inlineStr">
        <is>
          <t>By law, insurance companies are prohibited from charging different rates based on an applicant's race, religion, national origin, and gender</t>
        </is>
      </c>
      <c r="D13" s="28" t="inlineStr">
        <is>
          <t>IDOI auto insurance guide</t>
        </is>
      </c>
      <c r="E13" s="28" t="inlineStr">
        <is>
          <t>Pennsylvania Insurance Department - Automobile Insurance Guide</t>
        </is>
      </c>
      <c r="F13" s="28" t="inlineStr">
        <is>
          <t>https://www.pa.gov/content/dam/copapwp-pagov/en/insurance/documents/consumer-help-center/learn-about-insurance/auto-insurance-guide.pdf</t>
        </is>
      </c>
      <c r="G13" s="48" t="n">
        <v>46296</v>
      </c>
      <c r="H13" s="28" t="inlineStr">
        <is>
          <t>Pennsylvania</t>
        </is>
      </c>
      <c r="I13" s="28" t="inlineStr">
        <is>
          <t>Regulator-published</t>
        </is>
      </c>
      <c r="J13" s="28" t="inlineStr">
        <is>
          <t>Primary source</t>
        </is>
      </c>
      <c r="K13" s="48" t="n">
        <v>46296</v>
      </c>
    </row>
    <row r="14">
      <c r="A14" s="28" t="inlineStr">
        <is>
          <t>Rating factors</t>
        </is>
      </c>
      <c r="B14" s="28" t="inlineStr">
        <is>
          <t>Credit history</t>
        </is>
      </c>
      <c r="C14" s="28" t="inlineStr">
        <is>
          <t>Some companies may use credit history when determining a premium; companies cannot use credit history to increase the rate at renewal</t>
        </is>
      </c>
      <c r="D14" s="28" t="inlineStr">
        <is>
          <t>IDOI auto insurance guide</t>
        </is>
      </c>
      <c r="E14" s="28" t="inlineStr">
        <is>
          <t>Pennsylvania Insurance Department - Automobile Insurance Guide</t>
        </is>
      </c>
      <c r="F14" s="28" t="inlineStr">
        <is>
          <t>https://www.pa.gov/content/dam/copapwp-pagov/en/insurance/documents/consumer-help-center/learn-about-insurance/auto-insurance-guide.pdf</t>
        </is>
      </c>
      <c r="G14" s="48" t="n">
        <v>46296</v>
      </c>
      <c r="H14" s="28" t="inlineStr">
        <is>
          <t>Pennsylvania</t>
        </is>
      </c>
      <c r="I14" s="28" t="inlineStr">
        <is>
          <t>Regulator-published</t>
        </is>
      </c>
      <c r="J14" s="28" t="inlineStr">
        <is>
          <t>Primary source</t>
        </is>
      </c>
      <c r="K14" s="48" t="n">
        <v>46296</v>
      </c>
    </row>
    <row r="15">
      <c r="A15" s="28" t="inlineStr">
        <is>
          <t>Cancellation</t>
        </is>
      </c>
      <c r="B15" s="28" t="inlineStr">
        <is>
          <t>Cancellation for non-payment</t>
        </is>
      </c>
      <c r="C15" s="28" t="inlineStr">
        <is>
          <t>Pennsylvania insurance law does not require companies to extend a grace period for premium payments; the company can cancel the policy if the premium is not received by the due date</t>
        </is>
      </c>
      <c r="D15" s="28" t="inlineStr">
        <is>
          <t>IDOI auto insurance guide</t>
        </is>
      </c>
      <c r="E15" s="28" t="inlineStr">
        <is>
          <t>Pennsylvania Insurance Department - Automobile Insurance Guide</t>
        </is>
      </c>
      <c r="F15" s="28" t="inlineStr">
        <is>
          <t>https://www.pa.gov/content/dam/copapwp-pagov/en/insurance/documents/consumer-help-center/learn-about-insurance/auto-insurance-guide.pdf</t>
        </is>
      </c>
      <c r="G15" s="48" t="n">
        <v>46296</v>
      </c>
      <c r="H15" s="28" t="inlineStr">
        <is>
          <t>Pennsylvania</t>
        </is>
      </c>
      <c r="I15" s="28" t="inlineStr">
        <is>
          <t>Regulator-published</t>
        </is>
      </c>
      <c r="J15" s="28" t="inlineStr">
        <is>
          <t>Primary source</t>
        </is>
      </c>
      <c r="K15" s="48" t="n">
        <v>46296</v>
      </c>
    </row>
    <row r="16">
      <c r="A16" s="28" t="inlineStr">
        <is>
          <t>Non-renewal</t>
        </is>
      </c>
      <c r="B16" s="28" t="inlineStr">
        <is>
          <t>Non-renewal timing</t>
        </is>
      </c>
      <c r="C16" s="28" t="inlineStr">
        <is>
          <t>An insurance company can only non-renew a policy on the annual anniversary of when it was initially written, even if the policy term itself is less than 12 months</t>
        </is>
      </c>
      <c r="D16" s="28" t="inlineStr">
        <is>
          <t>IDOI auto insurance guide</t>
        </is>
      </c>
      <c r="E16" s="28" t="inlineStr">
        <is>
          <t>Pennsylvania Insurance Department - Automobile Insurance Guide</t>
        </is>
      </c>
      <c r="F16" s="28" t="inlineStr">
        <is>
          <t>https://www.pa.gov/content/dam/copapwp-pagov/en/insurance/documents/consumer-help-center/learn-about-insurance/auto-insurance-guide.pdf</t>
        </is>
      </c>
      <c r="G16" s="48" t="n">
        <v>46296</v>
      </c>
      <c r="H16" s="28" t="inlineStr">
        <is>
          <t>Pennsylvania</t>
        </is>
      </c>
      <c r="I16" s="28" t="inlineStr">
        <is>
          <t>Regulator-published</t>
        </is>
      </c>
      <c r="J16" s="28" t="inlineStr">
        <is>
          <t>Primary source</t>
        </is>
      </c>
      <c r="K16" s="48" t="n">
        <v>46296</v>
      </c>
    </row>
    <row r="17">
      <c r="A17" s="28" t="inlineStr">
        <is>
          <t>Non-renewal</t>
        </is>
      </c>
      <c r="B17" s="28" t="inlineStr">
        <is>
          <t>Appeal window (auto)</t>
        </is>
      </c>
      <c r="C17" s="28" t="inlineStr">
        <is>
          <t>To preserve appeal rights after a cancellation or non-renewal notice, a statement disagreeing with the action must be received by the Pennsylvania Insurance Department within 30 days of the company's mailing of the notice</t>
        </is>
      </c>
      <c r="D17" s="28" t="inlineStr">
        <is>
          <t>IDOI auto insurance guide</t>
        </is>
      </c>
      <c r="E17" s="28" t="inlineStr">
        <is>
          <t>Pennsylvania Insurance Department - Automobile Insurance Guide</t>
        </is>
      </c>
      <c r="F17" s="28" t="inlineStr">
        <is>
          <t>https://www.pa.gov/content/dam/copapwp-pagov/en/insurance/documents/consumer-help-center/learn-about-insurance/auto-insurance-guide.pdf</t>
        </is>
      </c>
      <c r="G17" s="48" t="n">
        <v>46296</v>
      </c>
      <c r="H17" s="28" t="inlineStr">
        <is>
          <t>Pennsylvania</t>
        </is>
      </c>
      <c r="I17" s="28" t="inlineStr">
        <is>
          <t>Regulator-published</t>
        </is>
      </c>
      <c r="J17" s="28" t="inlineStr">
        <is>
          <t>Primary source</t>
        </is>
      </c>
      <c r="K17" s="48" t="n">
        <v>46296</v>
      </c>
    </row>
    <row r="18">
      <c r="A18" s="28" t="inlineStr">
        <is>
          <t>Claims</t>
        </is>
      </c>
      <c r="B18" s="28" t="inlineStr">
        <is>
          <t>Claim handling timelines</t>
        </is>
      </c>
      <c r="C18" s="28" t="inlineStr">
        <is>
          <t>An insurer has 10 working days to acknowledge receipt of a claim (unless payment is made within that time); 15 working days after receiving proofs of loss to accept or deny the claim or explain why more time is needed; and must complete its investigation within 30 days unless that is not reasonably possible, in which case it must explain the delay every 45 days thereafter</t>
        </is>
      </c>
      <c r="D18" s="28" t="inlineStr">
        <is>
          <t>IDOI auto insurance guide</t>
        </is>
      </c>
      <c r="E18" s="28" t="inlineStr">
        <is>
          <t>Pennsylvania Insurance Department - Automobile Insurance Guide</t>
        </is>
      </c>
      <c r="F18" s="28" t="inlineStr">
        <is>
          <t>https://www.pa.gov/content/dam/copapwp-pagov/en/insurance/documents/consumer-help-center/learn-about-insurance/auto-insurance-guide.pdf</t>
        </is>
      </c>
      <c r="G18" s="48" t="n">
        <v>46296</v>
      </c>
      <c r="H18" s="28" t="inlineStr">
        <is>
          <t>Pennsylvania</t>
        </is>
      </c>
      <c r="I18" s="28" t="inlineStr">
        <is>
          <t>Regulator-published</t>
        </is>
      </c>
      <c r="J18" s="28" t="inlineStr">
        <is>
          <t>Primary source</t>
        </is>
      </c>
      <c r="K18" s="48" t="n">
        <v>46296</v>
      </c>
    </row>
    <row r="19">
      <c r="A19" s="28" t="inlineStr">
        <is>
          <t>State-backed plan</t>
        </is>
      </c>
      <c r="B19" s="28" t="inlineStr">
        <is>
          <t>Assigned Risk Plan</t>
        </is>
      </c>
      <c r="C19" s="28" t="inlineStr">
        <is>
          <t>All insurance companies writing automobile insurance in Pennsylvania are required to participate in the Assigned Risk Plan, which offers coverage to drivers unable to obtain it on their own; applicants are assigned to companies in proportion to the amount of business each writes in the state</t>
        </is>
      </c>
      <c r="D19" s="28" t="inlineStr">
        <is>
          <t>IDOI auto insurance guide</t>
        </is>
      </c>
      <c r="E19" s="28" t="inlineStr">
        <is>
          <t>Pennsylvania Insurance Department - Automobile Insurance Guide</t>
        </is>
      </c>
      <c r="F19" s="28" t="inlineStr">
        <is>
          <t>https://www.pa.gov/content/dam/copapwp-pagov/en/insurance/documents/consumer-help-center/learn-about-insurance/auto-insurance-guide.pdf</t>
        </is>
      </c>
      <c r="G19" s="48" t="n">
        <v>46296</v>
      </c>
      <c r="H19" s="28" t="inlineStr">
        <is>
          <t>Pennsylvania</t>
        </is>
      </c>
      <c r="I19" s="28" t="inlineStr">
        <is>
          <t>Regulator-published</t>
        </is>
      </c>
      <c r="J19" s="28" t="inlineStr">
        <is>
          <t>Primary source</t>
        </is>
      </c>
      <c r="K19" s="48" t="n">
        <v>46296</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Coverage</t>
        </is>
      </c>
      <c r="B2" s="28" t="inlineStr">
        <is>
          <t>Homeowners insurance is not mandatory</t>
        </is>
      </c>
      <c r="C2" s="28" t="inlineStr">
        <is>
          <t>Homeowners insurance is not mandatory in Pennsylvania, but most banks or lenders will require coverage for at least the amount of the mortgage</t>
        </is>
      </c>
      <c r="D2" s="28" t="inlineStr">
        <is>
          <t>IDOI homeowners insurance guide</t>
        </is>
      </c>
      <c r="E2" s="28" t="inlineStr">
        <is>
          <t>Pennsylvania Insurance Department - Homeowners Insurance Guide</t>
        </is>
      </c>
      <c r="F2" s="28" t="inlineStr">
        <is>
          <t>https://www.pa.gov/content/dam/copapwp-pagov/en/insurance/documents/coverage/homeowners/documents/homeowners%20insurance%20guide.pdf</t>
        </is>
      </c>
      <c r="G2" s="48" t="n">
        <v>46296</v>
      </c>
      <c r="H2" s="28" t="inlineStr">
        <is>
          <t>Pennsylvania</t>
        </is>
      </c>
      <c r="I2" s="28" t="inlineStr">
        <is>
          <t>Regulator-published</t>
        </is>
      </c>
      <c r="J2" s="28" t="inlineStr">
        <is>
          <t>Primary source</t>
        </is>
      </c>
      <c r="K2" s="48" t="n">
        <v>46296</v>
      </c>
    </row>
    <row r="3">
      <c r="A3" s="28" t="inlineStr">
        <is>
          <t>Coverage</t>
        </is>
      </c>
      <c r="B3" s="28" t="inlineStr">
        <is>
          <t>Dwelling coverage</t>
        </is>
      </c>
      <c r="C3" s="28" t="inlineStr">
        <is>
          <t>Pays for damage to the house and structures attached to it, including fixtures such as plumbing, electrical wiring, heating, and permanently installed cooling systems</t>
        </is>
      </c>
      <c r="D3" s="28" t="inlineStr">
        <is>
          <t>IDOI homeowners insurance guide</t>
        </is>
      </c>
      <c r="E3" s="28" t="inlineStr">
        <is>
          <t>Pennsylvania Insurance Department - Homeowners Insurance Guide</t>
        </is>
      </c>
      <c r="F3" s="28" t="inlineStr">
        <is>
          <t>https://www.pa.gov/content/dam/copapwp-pagov/en/insurance/documents/coverage/homeowners/documents/homeowners%20insurance%20guide.pdf</t>
        </is>
      </c>
      <c r="G3" s="48" t="n">
        <v>46296</v>
      </c>
      <c r="H3" s="28" t="inlineStr">
        <is>
          <t>Pennsylvania</t>
        </is>
      </c>
      <c r="I3" s="28" t="inlineStr">
        <is>
          <t>Regulator-published</t>
        </is>
      </c>
      <c r="J3" s="28" t="inlineStr">
        <is>
          <t>Primary source</t>
        </is>
      </c>
      <c r="K3" s="48" t="n">
        <v>46296</v>
      </c>
    </row>
    <row r="4">
      <c r="A4" s="28" t="inlineStr">
        <is>
          <t>Coverage</t>
        </is>
      </c>
      <c r="B4" s="28" t="inlineStr">
        <is>
          <t>Other structures</t>
        </is>
      </c>
      <c r="C4" s="28" t="inlineStr">
        <is>
          <t>Typically limited to 10% of the dwelling coverage limit; covers structures not attached to the dwelling such as detached garages, sheds, fences, and guest houses</t>
        </is>
      </c>
      <c r="D4" s="28" t="inlineStr">
        <is>
          <t>IDOI homeowners insurance guide</t>
        </is>
      </c>
      <c r="E4" s="28" t="inlineStr">
        <is>
          <t>Pennsylvania Insurance Department - Homeowners Insurance Guide</t>
        </is>
      </c>
      <c r="F4" s="28" t="inlineStr">
        <is>
          <t>https://www.pa.gov/content/dam/copapwp-pagov/en/insurance/documents/coverage/homeowners/documents/homeowners%20insurance%20guide.pdf</t>
        </is>
      </c>
      <c r="G4" s="48" t="n">
        <v>46296</v>
      </c>
      <c r="H4" s="28" t="inlineStr">
        <is>
          <t>Pennsylvania</t>
        </is>
      </c>
      <c r="I4" s="28" t="inlineStr">
        <is>
          <t>Regulator-published</t>
        </is>
      </c>
      <c r="J4" s="28" t="inlineStr">
        <is>
          <t>Primary source</t>
        </is>
      </c>
      <c r="K4" s="48" t="n">
        <v>46296</v>
      </c>
    </row>
    <row r="5">
      <c r="A5" s="28" t="inlineStr">
        <is>
          <t>Coverage</t>
        </is>
      </c>
      <c r="B5" s="28" t="inlineStr">
        <is>
          <t>Personal property</t>
        </is>
      </c>
      <c r="C5" s="28" t="inlineStr">
        <is>
          <t>Typically provided at a percentage of the dwelling coverage limit; personal property away from the home (for business or vacation) is typically insured for 10% of the personal property coverage or $1,000, whichever is greater, unless a higher limit is requested</t>
        </is>
      </c>
      <c r="D5" s="28" t="inlineStr">
        <is>
          <t>IDOI homeowners insurance guide</t>
        </is>
      </c>
      <c r="E5" s="28" t="inlineStr">
        <is>
          <t>Pennsylvania Insurance Department - Homeowners Insurance Guide</t>
        </is>
      </c>
      <c r="F5" s="28" t="inlineStr">
        <is>
          <t>https://www.pa.gov/content/dam/copapwp-pagov/en/insurance/documents/coverage/homeowners/documents/homeowners%20insurance%20guide.pdf</t>
        </is>
      </c>
      <c r="G5" s="48" t="n">
        <v>46296</v>
      </c>
      <c r="H5" s="28" t="inlineStr">
        <is>
          <t>Pennsylvania</t>
        </is>
      </c>
      <c r="I5" s="28" t="inlineStr">
        <is>
          <t>Regulator-published</t>
        </is>
      </c>
      <c r="J5" s="28" t="inlineStr">
        <is>
          <t>Primary source</t>
        </is>
      </c>
      <c r="K5" s="48" t="n">
        <v>46296</v>
      </c>
    </row>
    <row r="6">
      <c r="A6" s="28" t="inlineStr">
        <is>
          <t>Coverage</t>
        </is>
      </c>
      <c r="B6" s="28" t="inlineStr">
        <is>
          <t>Loss of use</t>
        </is>
      </c>
      <c r="C6" s="28" t="inlineStr">
        <is>
          <t>Typical coverage for loss of use (additional living expenses while the home is being repaired) is 20% of the dwelling coverage limit</t>
        </is>
      </c>
      <c r="D6" s="28" t="inlineStr">
        <is>
          <t>IDOI homeowners insurance guide</t>
        </is>
      </c>
      <c r="E6" s="28" t="inlineStr">
        <is>
          <t>Pennsylvania Insurance Department - Homeowners Insurance Guide</t>
        </is>
      </c>
      <c r="F6" s="28" t="inlineStr">
        <is>
          <t>https://www.pa.gov/content/dam/copapwp-pagov/en/insurance/documents/coverage/homeowners/documents/homeowners%20insurance%20guide.pdf</t>
        </is>
      </c>
      <c r="G6" s="48" t="n">
        <v>46296</v>
      </c>
      <c r="H6" s="28" t="inlineStr">
        <is>
          <t>Pennsylvania</t>
        </is>
      </c>
      <c r="I6" s="28" t="inlineStr">
        <is>
          <t>Regulator-published</t>
        </is>
      </c>
      <c r="J6" s="28" t="inlineStr">
        <is>
          <t>Primary source</t>
        </is>
      </c>
      <c r="K6" s="48" t="n">
        <v>46296</v>
      </c>
    </row>
    <row r="7">
      <c r="A7" s="28" t="inlineStr">
        <is>
          <t>Liability</t>
        </is>
      </c>
      <c r="B7" s="28" t="inlineStr">
        <is>
          <t>Personal liability</t>
        </is>
      </c>
      <c r="C7" s="28" t="inlineStr">
        <is>
          <t>Most policies offer $100,000, with higher limits available for an additional cost; covers the policyholder, household relatives, residents under 21, and students under 24 enrolled full-time at school (with certain exceptions)</t>
        </is>
      </c>
      <c r="D7" s="28" t="inlineStr">
        <is>
          <t>IDOI homeowners insurance guide</t>
        </is>
      </c>
      <c r="E7" s="28" t="inlineStr">
        <is>
          <t>Pennsylvania Insurance Department - Homeowners Insurance Guide</t>
        </is>
      </c>
      <c r="F7" s="28" t="inlineStr">
        <is>
          <t>https://www.pa.gov/content/dam/copapwp-pagov/en/insurance/documents/coverage/homeowners/documents/homeowners%20insurance%20guide.pdf</t>
        </is>
      </c>
      <c r="G7" s="48" t="n">
        <v>46296</v>
      </c>
      <c r="H7" s="28" t="inlineStr">
        <is>
          <t>Pennsylvania</t>
        </is>
      </c>
      <c r="I7" s="28" t="inlineStr">
        <is>
          <t>Regulator-published</t>
        </is>
      </c>
      <c r="J7" s="28" t="inlineStr">
        <is>
          <t>Primary source</t>
        </is>
      </c>
      <c r="K7" s="48" t="n">
        <v>46296</v>
      </c>
    </row>
    <row r="8">
      <c r="A8" s="28" t="inlineStr">
        <is>
          <t>Liability</t>
        </is>
      </c>
      <c r="B8" s="28" t="inlineStr">
        <is>
          <t>Medical payments to others</t>
        </is>
      </c>
      <c r="C8" s="28" t="inlineStr">
        <is>
          <t>Basic amounts of coverage are usually $1,000 per person; higher limits may be available for an additional cost</t>
        </is>
      </c>
      <c r="D8" s="28" t="inlineStr">
        <is>
          <t>IDOI homeowners insurance guide</t>
        </is>
      </c>
      <c r="E8" s="28" t="inlineStr">
        <is>
          <t>Pennsylvania Insurance Department - Homeowners Insurance Guide</t>
        </is>
      </c>
      <c r="F8" s="28" t="inlineStr">
        <is>
          <t>https://www.pa.gov/content/dam/copapwp-pagov/en/insurance/documents/coverage/homeowners/documents/homeowners%20insurance%20guide.pdf</t>
        </is>
      </c>
      <c r="G8" s="48" t="n">
        <v>46296</v>
      </c>
      <c r="H8" s="28" t="inlineStr">
        <is>
          <t>Pennsylvania</t>
        </is>
      </c>
      <c r="I8" s="28" t="inlineStr">
        <is>
          <t>Regulator-published</t>
        </is>
      </c>
      <c r="J8" s="28" t="inlineStr">
        <is>
          <t>Primary source</t>
        </is>
      </c>
      <c r="K8" s="48" t="n">
        <v>46296</v>
      </c>
    </row>
    <row r="9">
      <c r="A9" s="28" t="inlineStr">
        <is>
          <t>Settlement</t>
        </is>
      </c>
      <c r="B9" s="28" t="inlineStr">
        <is>
          <t>Replacement cost vs actual cash value</t>
        </is>
      </c>
      <c r="C9" s="28" t="inlineStr">
        <is>
          <t>Replacement cost is the amount to rebuild or repair without deducting for depreciation; actual cash value is replacement cost minus depreciation. A good rule of thumb is to insure the home for at least 80% of its replacement value; if coverage drops below that, the company may reduce the amount paid on a claim</t>
        </is>
      </c>
      <c r="D9" s="28" t="inlineStr">
        <is>
          <t>IDOI homeowners insurance guide</t>
        </is>
      </c>
      <c r="E9" s="28" t="inlineStr">
        <is>
          <t>Pennsylvania Insurance Department - Homeowners Insurance Guide</t>
        </is>
      </c>
      <c r="F9" s="28" t="inlineStr">
        <is>
          <t>https://www.pa.gov/content/dam/copapwp-pagov/en/insurance/documents/coverage/homeowners/documents/homeowners%20insurance%20guide.pdf</t>
        </is>
      </c>
      <c r="G9" s="48" t="n">
        <v>46296</v>
      </c>
      <c r="H9" s="28" t="inlineStr">
        <is>
          <t>Pennsylvania</t>
        </is>
      </c>
      <c r="I9" s="28" t="inlineStr">
        <is>
          <t>Regulator-published</t>
        </is>
      </c>
      <c r="J9" s="28" t="inlineStr">
        <is>
          <t>Primary source</t>
        </is>
      </c>
      <c r="K9" s="48" t="n">
        <v>46296</v>
      </c>
    </row>
    <row r="10">
      <c r="A10" s="28" t="inlineStr">
        <is>
          <t>Coverage</t>
        </is>
      </c>
      <c r="B10" s="28" t="inlineStr">
        <is>
          <t>Policy forms</t>
        </is>
      </c>
      <c r="C10" s="28" t="inlineStr">
        <is>
          <t>The Broad Form (Form 2) covers only perils specifically named in the policy. The Special Form (Form 3) instead specifies which perils are not covered, providing more coverage. The Comprehensive Form (Form 5) extends open-peril coverage to personal property as well. The Modified Coverage Form (Form 8) provides 'functional replacement cost' for older homes. The Contents Broad Form (Form 4) is for renters, and the Unit-Owners Form (Form 6) is for condominium owners</t>
        </is>
      </c>
      <c r="D10" s="28" t="inlineStr">
        <is>
          <t>IDOI homeowners insurance guide</t>
        </is>
      </c>
      <c r="E10" s="28" t="inlineStr">
        <is>
          <t>Pennsylvania Insurance Department - Homeowners Insurance Guide</t>
        </is>
      </c>
      <c r="F10" s="28" t="inlineStr">
        <is>
          <t>https://www.pa.gov/content/dam/copapwp-pagov/en/insurance/documents/coverage/homeowners/documents/homeowners%20insurance%20guide.pdf</t>
        </is>
      </c>
      <c r="G10" s="48" t="n">
        <v>46296</v>
      </c>
      <c r="H10" s="28" t="inlineStr">
        <is>
          <t>Pennsylvania</t>
        </is>
      </c>
      <c r="I10" s="28" t="inlineStr">
        <is>
          <t>Regulator-published</t>
        </is>
      </c>
      <c r="J10" s="28" t="inlineStr">
        <is>
          <t>Primary source</t>
        </is>
      </c>
      <c r="K10" s="48" t="n">
        <v>46296</v>
      </c>
    </row>
    <row r="11">
      <c r="A11" s="28" t="inlineStr">
        <is>
          <t>Coverage</t>
        </is>
      </c>
      <c r="B11" s="28" t="inlineStr">
        <is>
          <t>Common exclusions</t>
        </is>
      </c>
      <c r="C11" s="28" t="inlineStr">
        <is>
          <t>Common exclusions include (but are not limited to) earthquake, collapse, flood, mold/fungus/wet rot, wear and tear, mechanical breakdown, and sinkhole or earth movement; separate coverage can typically be purchased for some of these</t>
        </is>
      </c>
      <c r="D11" s="28" t="inlineStr">
        <is>
          <t>IDOI homeowners insurance guide</t>
        </is>
      </c>
      <c r="E11" s="28" t="inlineStr">
        <is>
          <t>Pennsylvania Insurance Department - Homeowners Insurance Guide</t>
        </is>
      </c>
      <c r="F11" s="28" t="inlineStr">
        <is>
          <t>https://www.pa.gov/content/dam/copapwp-pagov/en/insurance/documents/coverage/homeowners/documents/homeowners%20insurance%20guide.pdf</t>
        </is>
      </c>
      <c r="G11" s="48" t="n">
        <v>46296</v>
      </c>
      <c r="H11" s="28" t="inlineStr">
        <is>
          <t>Pennsylvania</t>
        </is>
      </c>
      <c r="I11" s="28" t="inlineStr">
        <is>
          <t>Regulator-published</t>
        </is>
      </c>
      <c r="J11" s="28" t="inlineStr">
        <is>
          <t>Primary source</t>
        </is>
      </c>
      <c r="K11" s="48" t="n">
        <v>46296</v>
      </c>
    </row>
    <row r="12">
      <c r="A12" s="28" t="inlineStr">
        <is>
          <t>Pennsylvania FAIR Plan</t>
        </is>
      </c>
      <c r="B12" s="28" t="inlineStr">
        <is>
          <t>What it is</t>
        </is>
      </c>
      <c r="C12" s="28" t="inlineStr">
        <is>
          <t>Pennsylvania's 'Fair Plan' guarantees the availability of basic fire insurance for a home when a homeowner cannot find a company to insure it</t>
        </is>
      </c>
      <c r="D12" s="28" t="inlineStr">
        <is>
          <t>IDOI homeowners insurance guide</t>
        </is>
      </c>
      <c r="E12" s="28" t="inlineStr">
        <is>
          <t>Pennsylvania Insurance Department - Homeowners Insurance Guide</t>
        </is>
      </c>
      <c r="F12" s="28" t="inlineStr">
        <is>
          <t>https://www.pa.gov/content/dam/copapwp-pagov/en/insurance/documents/coverage/homeowners/documents/homeowners%20insurance%20guide.pdf</t>
        </is>
      </c>
      <c r="G12" s="48" t="n">
        <v>46296</v>
      </c>
      <c r="H12" s="28" t="inlineStr">
        <is>
          <t>Pennsylvania</t>
        </is>
      </c>
      <c r="I12" s="28" t="inlineStr">
        <is>
          <t>Regulator-published</t>
        </is>
      </c>
      <c r="J12" s="28" t="inlineStr">
        <is>
          <t>Primary source</t>
        </is>
      </c>
      <c r="K12" s="48" t="n">
        <v>46296</v>
      </c>
      <c r="L12" s="28" t="inlineStr">
        <is>
          <t>Official site: www.pafairplan.com or 1-800-462-4972.</t>
        </is>
      </c>
    </row>
    <row r="13">
      <c r="A13" s="28" t="inlineStr">
        <is>
          <t>Coverage</t>
        </is>
      </c>
      <c r="B13" s="28" t="inlineStr">
        <is>
          <t>Flood insurance</t>
        </is>
      </c>
      <c r="C13" s="28" t="inlineStr">
        <is>
          <t>A typical homeowners or renters policy does not cover flood damage. National Flood Insurance Program (NFIP) policies have a 30-day waiting period before they take effect. Private flood insurance, including through surplus lines insurers, is also available</t>
        </is>
      </c>
      <c r="D13" s="28" t="inlineStr">
        <is>
          <t>IDOI homeowners insurance guide</t>
        </is>
      </c>
      <c r="E13" s="28" t="inlineStr">
        <is>
          <t>Pennsylvania Insurance Department - Homeowners Insurance Guide</t>
        </is>
      </c>
      <c r="F13" s="28" t="inlineStr">
        <is>
          <t>https://www.pa.gov/content/dam/copapwp-pagov/en/insurance/documents/coverage/homeowners/documents/homeowners%20insurance%20guide.pdf</t>
        </is>
      </c>
      <c r="G13" s="48" t="n">
        <v>46296</v>
      </c>
      <c r="H13" s="28" t="inlineStr">
        <is>
          <t>Pennsylvania</t>
        </is>
      </c>
      <c r="I13" s="28" t="inlineStr">
        <is>
          <t>Regulator-published</t>
        </is>
      </c>
      <c r="J13" s="28" t="inlineStr">
        <is>
          <t>Primary source</t>
        </is>
      </c>
      <c r="K13" s="48" t="n">
        <v>46296</v>
      </c>
    </row>
    <row r="14">
      <c r="A14" s="28" t="inlineStr">
        <is>
          <t>Coverage</t>
        </is>
      </c>
      <c r="B14" s="28" t="inlineStr">
        <is>
          <t>Sinkhole and earth movement</t>
        </is>
      </c>
      <c r="C14" s="28" t="inlineStr">
        <is>
          <t>Damage from sinkholes or earth movement is typically not covered unless specifically requested and purchased at additional cost; separate mine subsidence coverage is available through the PA Department of Environmental Protection for communities above old mines</t>
        </is>
      </c>
      <c r="D14" s="28" t="inlineStr">
        <is>
          <t>IDOI homeowners insurance guide</t>
        </is>
      </c>
      <c r="E14" s="28" t="inlineStr">
        <is>
          <t>Pennsylvania Insurance Department - Homeowners Insurance Guide</t>
        </is>
      </c>
      <c r="F14" s="28" t="inlineStr">
        <is>
          <t>https://www.pa.gov/content/dam/copapwp-pagov/en/insurance/documents/coverage/homeowners/documents/homeowners%20insurance%20guide.pdf</t>
        </is>
      </c>
      <c r="G14" s="48" t="n">
        <v>46296</v>
      </c>
      <c r="H14" s="28" t="inlineStr">
        <is>
          <t>Pennsylvania</t>
        </is>
      </c>
      <c r="I14" s="28" t="inlineStr">
        <is>
          <t>Regulator-published</t>
        </is>
      </c>
      <c r="J14" s="28" t="inlineStr">
        <is>
          <t>Primary source</t>
        </is>
      </c>
      <c r="K14" s="48" t="n">
        <v>46296</v>
      </c>
    </row>
    <row r="15">
      <c r="A15" s="28" t="inlineStr">
        <is>
          <t>Rating factors</t>
        </is>
      </c>
      <c r="B15" s="28" t="inlineStr">
        <is>
          <t>Credit history (general guidance)</t>
        </is>
      </c>
      <c r="C15" s="28" t="inlineStr">
        <is>
          <t>The guide, citing NAIC consumer education, notes that in many states insurers use credit history as a factor in deciding whether to offer coverage and what to charge; the insurance agent may ask for a Social Security number to access a credit report</t>
        </is>
      </c>
      <c r="D15" s="28" t="inlineStr">
        <is>
          <t>IDOI homeowners insurance guide (citing NAIC)</t>
        </is>
      </c>
      <c r="E15" s="28" t="inlineStr">
        <is>
          <t>Pennsylvania Insurance Department - Homeowners Insurance Guide</t>
        </is>
      </c>
      <c r="F15" s="28" t="inlineStr">
        <is>
          <t>https://www.pa.gov/content/dam/copapwp-pagov/en/insurance/documents/coverage/homeowners/documents/homeowners%20insurance%20guide.pdf</t>
        </is>
      </c>
      <c r="G15" s="48" t="n">
        <v>46296</v>
      </c>
      <c r="H15" s="28" t="inlineStr">
        <is>
          <t>Pennsylvania</t>
        </is>
      </c>
      <c r="I15" s="28" t="inlineStr">
        <is>
          <t>Regulator-published</t>
        </is>
      </c>
      <c r="J15" s="28" t="inlineStr">
        <is>
          <t>Primary source</t>
        </is>
      </c>
      <c r="K15" s="48" t="n">
        <v>46296</v>
      </c>
      <c r="L15" s="28" t="inlineStr">
        <is>
          <t>Framed as general multi-state guidance in the PA guide, not a PA-specific statute.</t>
        </is>
      </c>
    </row>
    <row r="16">
      <c r="A16" s="28" t="inlineStr">
        <is>
          <t>Cancellation</t>
        </is>
      </c>
      <c r="B16" s="28" t="inlineStr">
        <is>
          <t>Underwriting / free-look period</t>
        </is>
      </c>
      <c r="C16" s="28" t="inlineStr">
        <is>
          <t>An insurance company has 60 days to underwrite and investigate an application and may refuse or cancel coverage within that period for various reasons, but not because of age, marital status, occupation, or any other unfairly discriminatory reason</t>
        </is>
      </c>
      <c r="D16" s="28" t="inlineStr">
        <is>
          <t>IDOI homeowners insurance guide</t>
        </is>
      </c>
      <c r="E16" s="28" t="inlineStr">
        <is>
          <t>Pennsylvania Insurance Department - Homeowners Insurance Guide</t>
        </is>
      </c>
      <c r="F16" s="28" t="inlineStr">
        <is>
          <t>https://www.pa.gov/content/dam/copapwp-pagov/en/insurance/documents/coverage/homeowners/documents/homeowners%20insurance%20guide.pdf</t>
        </is>
      </c>
      <c r="G16" s="48" t="n">
        <v>46296</v>
      </c>
      <c r="H16" s="28" t="inlineStr">
        <is>
          <t>Pennsylvania</t>
        </is>
      </c>
      <c r="I16" s="28" t="inlineStr">
        <is>
          <t>Regulator-published</t>
        </is>
      </c>
      <c r="J16" s="28" t="inlineStr">
        <is>
          <t>Primary source</t>
        </is>
      </c>
      <c r="K16" s="48" t="n">
        <v>46296</v>
      </c>
    </row>
    <row r="17">
      <c r="A17" s="28" t="inlineStr">
        <is>
          <t>Cancellation</t>
        </is>
      </c>
      <c r="B17" s="28" t="inlineStr">
        <is>
          <t>No cancellation for claims or loss history</t>
        </is>
      </c>
      <c r="C17" s="28" t="inlineStr">
        <is>
          <t>Pennsylvania law does not allow an insurance company to terminate a homeowner's insurance policy for 'claims' or 'loss history'</t>
        </is>
      </c>
      <c r="D17" s="28" t="inlineStr">
        <is>
          <t>IDOI homeowners insurance guide</t>
        </is>
      </c>
      <c r="E17" s="28" t="inlineStr">
        <is>
          <t>Pennsylvania Insurance Department - Homeowners Insurance Guide</t>
        </is>
      </c>
      <c r="F17" s="28" t="inlineStr">
        <is>
          <t>https://www.pa.gov/content/dam/copapwp-pagov/en/insurance/documents/coverage/homeowners/documents/homeowners%20insurance%20guide.pdf</t>
        </is>
      </c>
      <c r="G17" s="48" t="n">
        <v>46296</v>
      </c>
      <c r="H17" s="28" t="inlineStr">
        <is>
          <t>Pennsylvania</t>
        </is>
      </c>
      <c r="I17" s="28" t="inlineStr">
        <is>
          <t>Regulator-published</t>
        </is>
      </c>
      <c r="J17" s="28" t="inlineStr">
        <is>
          <t>Primary source</t>
        </is>
      </c>
      <c r="K17" s="48" t="n">
        <v>46296</v>
      </c>
    </row>
    <row r="18">
      <c r="A18" s="28" t="inlineStr">
        <is>
          <t>Cancellation</t>
        </is>
      </c>
      <c r="B18" s="28" t="inlineStr">
        <is>
          <t>Cancellation for non-payment</t>
        </is>
      </c>
      <c r="C18" s="28" t="inlineStr">
        <is>
          <t>Pennsylvania insurance law does not require companies to extend a grace period for premium payments; the company can cancel the policy if the premium is not paid on time</t>
        </is>
      </c>
      <c r="D18" s="28" t="inlineStr">
        <is>
          <t>IDOI homeowners insurance guide</t>
        </is>
      </c>
      <c r="E18" s="28" t="inlineStr">
        <is>
          <t>Pennsylvania Insurance Department - Homeowners Insurance Guide</t>
        </is>
      </c>
      <c r="F18" s="28" t="inlineStr">
        <is>
          <t>https://www.pa.gov/content/dam/copapwp-pagov/en/insurance/documents/coverage/homeowners/documents/homeowners%20insurance%20guide.pdf</t>
        </is>
      </c>
      <c r="G18" s="48" t="n">
        <v>46296</v>
      </c>
      <c r="H18" s="28" t="inlineStr">
        <is>
          <t>Pennsylvania</t>
        </is>
      </c>
      <c r="I18" s="28" t="inlineStr">
        <is>
          <t>Regulator-published</t>
        </is>
      </c>
      <c r="J18" s="28" t="inlineStr">
        <is>
          <t>Primary source</t>
        </is>
      </c>
      <c r="K18" s="48" t="n">
        <v>46296</v>
      </c>
    </row>
    <row r="19">
      <c r="A19" s="28" t="inlineStr">
        <is>
          <t>Non-renewal</t>
        </is>
      </c>
      <c r="B19" s="28" t="inlineStr">
        <is>
          <t>Appeal window (home)</t>
        </is>
      </c>
      <c r="C19" s="28" t="inlineStr">
        <is>
          <t>To preserve appeal rights, a statement disagreeing with a cancellation or non-renewal action must be received by the Pennsylvania Insurance Department within 10 days of the homeowner's receipt of the notice</t>
        </is>
      </c>
      <c r="D19" s="28" t="inlineStr">
        <is>
          <t>IDOI homeowners insurance guide</t>
        </is>
      </c>
      <c r="E19" s="28" t="inlineStr">
        <is>
          <t>Pennsylvania Insurance Department - Homeowners Insurance Guide</t>
        </is>
      </c>
      <c r="F19" s="28" t="inlineStr">
        <is>
          <t>https://www.pa.gov/content/dam/copapwp-pagov/en/insurance/documents/coverage/homeowners/documents/homeowners%20insurance%20guide.pdf</t>
        </is>
      </c>
      <c r="G19" s="48" t="n">
        <v>46296</v>
      </c>
      <c r="H19" s="28" t="inlineStr">
        <is>
          <t>Pennsylvania</t>
        </is>
      </c>
      <c r="I19" s="28" t="inlineStr">
        <is>
          <t>Regulator-published</t>
        </is>
      </c>
      <c r="J19" s="28" t="inlineStr">
        <is>
          <t>Primary source</t>
        </is>
      </c>
      <c r="K19" s="48" t="n">
        <v>46296</v>
      </c>
      <c r="L19" s="28" t="inlineStr">
        <is>
          <t>Shorter than, and measured differently from, the 30-day auto appeal window (which runs from the company's mailing date, not the consumer's receipt).</t>
        </is>
      </c>
    </row>
    <row r="20">
      <c r="A20" s="28" t="inlineStr">
        <is>
          <t>Discounts</t>
        </is>
      </c>
      <c r="B20" s="28" t="inlineStr">
        <is>
          <t>Home-improvement contractor registration</t>
        </is>
      </c>
      <c r="C20" s="28" t="inlineStr">
        <is>
          <t>Home-improvement contractors doing more than $5,000 of business per year in Pennsylvania must register with the Attorney General's Bureau of Consumer Protection; homeowners can verify a contractor's registration number before hiring</t>
        </is>
      </c>
      <c r="D20" s="28" t="inlineStr">
        <is>
          <t>IDOI homeowners insurance guide</t>
        </is>
      </c>
      <c r="E20" s="28" t="inlineStr">
        <is>
          <t>Pennsylvania Insurance Department - Homeowners Insurance Guide</t>
        </is>
      </c>
      <c r="F20" s="28" t="inlineStr">
        <is>
          <t>https://www.pa.gov/content/dam/copapwp-pagov/en/insurance/documents/coverage/homeowners/documents/homeowners%20insurance%20guide.pdf</t>
        </is>
      </c>
      <c r="G20" s="48" t="n">
        <v>46296</v>
      </c>
      <c r="H20" s="28" t="inlineStr">
        <is>
          <t>Pennsylvania</t>
        </is>
      </c>
      <c r="I20" s="28" t="inlineStr">
        <is>
          <t>Regulator-published</t>
        </is>
      </c>
      <c r="J20" s="28" t="inlineStr">
        <is>
          <t>Primary source</t>
        </is>
      </c>
      <c r="K20" s="48" t="n">
        <v>46296</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Minimum liability</t>
        </is>
      </c>
      <c r="B2" s="28" t="inlineStr">
        <is>
          <t>Bodily injury per person</t>
        </is>
      </c>
      <c r="C2" s="28" t="inlineStr">
        <is>
          <t>$25,000</t>
        </is>
      </c>
      <c r="D2" s="28" t="inlineStr">
        <is>
          <t>OCI auto guide (25/50/25)</t>
        </is>
      </c>
      <c r="E2" s="28" t="inlineStr">
        <is>
          <t>Georgia OCI - Consumer Guide for Automobile Insurance</t>
        </is>
      </c>
      <c r="F2" s="28" t="inlineStr">
        <is>
          <t>https://oci.georgia.gov/document/document/guide-auto-insurance/download</t>
        </is>
      </c>
      <c r="G2" s="48" t="n">
        <v>46296</v>
      </c>
      <c r="H2" s="28" t="inlineStr">
        <is>
          <t>Georgia</t>
        </is>
      </c>
      <c r="I2" s="28" t="inlineStr">
        <is>
          <t>Regulator-published</t>
        </is>
      </c>
      <c r="J2" s="28" t="inlineStr">
        <is>
          <t>Primary source</t>
        </is>
      </c>
      <c r="K2" s="48" t="n">
        <v>46296</v>
      </c>
    </row>
    <row r="3">
      <c r="A3" s="28" t="inlineStr">
        <is>
          <t>Minimum liability</t>
        </is>
      </c>
      <c r="B3" s="28" t="inlineStr">
        <is>
          <t>Bodily injury per accident</t>
        </is>
      </c>
      <c r="C3" s="28" t="inlineStr">
        <is>
          <t>$50,000</t>
        </is>
      </c>
      <c r="D3" s="28" t="inlineStr">
        <is>
          <t>OCI auto guide (25/50/25)</t>
        </is>
      </c>
      <c r="E3" s="28" t="inlineStr">
        <is>
          <t>Georgia OCI - Consumer Guide for Automobile Insurance</t>
        </is>
      </c>
      <c r="F3" s="28" t="inlineStr">
        <is>
          <t>https://oci.georgia.gov/document/document/guide-auto-insurance/download</t>
        </is>
      </c>
      <c r="G3" s="48" t="n">
        <v>46296</v>
      </c>
      <c r="H3" s="28" t="inlineStr">
        <is>
          <t>Georgia</t>
        </is>
      </c>
      <c r="I3" s="28" t="inlineStr">
        <is>
          <t>Regulator-published</t>
        </is>
      </c>
      <c r="J3" s="28" t="inlineStr">
        <is>
          <t>Primary source</t>
        </is>
      </c>
      <c r="K3" s="48" t="n">
        <v>46296</v>
      </c>
    </row>
    <row r="4">
      <c r="A4" s="28" t="inlineStr">
        <is>
          <t>Minimum liability</t>
        </is>
      </c>
      <c r="B4" s="28" t="inlineStr">
        <is>
          <t>Property damage</t>
        </is>
      </c>
      <c r="C4" s="28" t="inlineStr">
        <is>
          <t>$25,000</t>
        </is>
      </c>
      <c r="D4" s="28" t="inlineStr">
        <is>
          <t>OCI auto guide (25/50/25)</t>
        </is>
      </c>
      <c r="E4" s="28" t="inlineStr">
        <is>
          <t>Georgia OCI - Consumer Guide for Automobile Insurance</t>
        </is>
      </c>
      <c r="F4" s="28" t="inlineStr">
        <is>
          <t>https://oci.georgia.gov/document/document/guide-auto-insurance/download</t>
        </is>
      </c>
      <c r="G4" s="48" t="n">
        <v>46296</v>
      </c>
      <c r="H4" s="28" t="inlineStr">
        <is>
          <t>Georgia</t>
        </is>
      </c>
      <c r="I4" s="28" t="inlineStr">
        <is>
          <t>Regulator-published</t>
        </is>
      </c>
      <c r="J4" s="28" t="inlineStr">
        <is>
          <t>Primary source</t>
        </is>
      </c>
      <c r="K4" s="48" t="n">
        <v>46296</v>
      </c>
    </row>
    <row r="5">
      <c r="A5" s="28" t="inlineStr">
        <is>
          <t>Coverage</t>
        </is>
      </c>
      <c r="B5" s="28" t="inlineStr">
        <is>
          <t>What liability insurance covers</t>
        </is>
      </c>
      <c r="C5" s="28" t="inlineStr">
        <is>
          <t>Liability coverage pays only for damage the policyholder does to others or to the property of others; it does not cover the policyholder's own vehicle</t>
        </is>
      </c>
      <c r="D5" s="28" t="inlineStr">
        <is>
          <t>OCI auto guide</t>
        </is>
      </c>
      <c r="E5" s="28" t="inlineStr">
        <is>
          <t>Georgia OCI - Consumer Guide for Automobile Insurance</t>
        </is>
      </c>
      <c r="F5" s="28" t="inlineStr">
        <is>
          <t>https://oci.georgia.gov/document/document/guide-auto-insurance/download</t>
        </is>
      </c>
      <c r="G5" s="48" t="n">
        <v>46296</v>
      </c>
      <c r="H5" s="28" t="inlineStr">
        <is>
          <t>Georgia</t>
        </is>
      </c>
      <c r="I5" s="28" t="inlineStr">
        <is>
          <t>Regulator-published</t>
        </is>
      </c>
      <c r="J5" s="28" t="inlineStr">
        <is>
          <t>Primary source</t>
        </is>
      </c>
      <c r="K5" s="48" t="n">
        <v>46296</v>
      </c>
    </row>
    <row r="6">
      <c r="A6" s="28" t="inlineStr">
        <is>
          <t>Coverage</t>
        </is>
      </c>
      <c r="B6" s="28" t="inlineStr">
        <is>
          <t>Collision and comprehensive</t>
        </is>
      </c>
      <c r="C6" s="28" t="inlineStr">
        <is>
          <t>Both optional under state law; collision covers damage to the policyholder's own car from an accident, comprehensive covers damage from causes such as fire, theft, glass breakage, vandalism, flood, falling objects, explosion, windstorm, hail, earthquake, riot, or collision with an animal; lenders commonly require both as a loan condition on financed or leased vehicles</t>
        </is>
      </c>
      <c r="D6" s="28" t="inlineStr">
        <is>
          <t>OCI auto guide</t>
        </is>
      </c>
      <c r="E6" s="28" t="inlineStr">
        <is>
          <t>Georgia OCI - Consumer Guide for Automobile Insurance</t>
        </is>
      </c>
      <c r="F6" s="28" t="inlineStr">
        <is>
          <t>https://oci.georgia.gov/document/document/guide-auto-insurance/download</t>
        </is>
      </c>
      <c r="G6" s="48" t="n">
        <v>46296</v>
      </c>
      <c r="H6" s="28" t="inlineStr">
        <is>
          <t>Georgia</t>
        </is>
      </c>
      <c r="I6" s="28" t="inlineStr">
        <is>
          <t>Regulator-published</t>
        </is>
      </c>
      <c r="J6" s="28" t="inlineStr">
        <is>
          <t>Primary source</t>
        </is>
      </c>
      <c r="K6" s="48" t="n">
        <v>46296</v>
      </c>
    </row>
    <row r="7">
      <c r="A7" s="28" t="inlineStr">
        <is>
          <t>Coverage</t>
        </is>
      </c>
      <c r="B7" s="28" t="inlineStr">
        <is>
          <t>Medical Payments coverage</t>
        </is>
      </c>
      <c r="C7" s="28" t="inlineStr">
        <is>
          <t>Optional, available in varying amounts, to cover injuries to the policyholder or passengers in an auto accident</t>
        </is>
      </c>
      <c r="D7" s="28" t="inlineStr">
        <is>
          <t>OCI auto guide</t>
        </is>
      </c>
      <c r="E7" s="28" t="inlineStr">
        <is>
          <t>Georgia OCI - Consumer Guide for Automobile Insurance</t>
        </is>
      </c>
      <c r="F7" s="28" t="inlineStr">
        <is>
          <t>https://oci.georgia.gov/document/document/guide-auto-insurance/download</t>
        </is>
      </c>
      <c r="G7" s="48" t="n">
        <v>46296</v>
      </c>
      <c r="H7" s="28" t="inlineStr">
        <is>
          <t>Georgia</t>
        </is>
      </c>
      <c r="I7" s="28" t="inlineStr">
        <is>
          <t>Regulator-published</t>
        </is>
      </c>
      <c r="J7" s="28" t="inlineStr">
        <is>
          <t>Primary source</t>
        </is>
      </c>
      <c r="K7" s="48" t="n">
        <v>46296</v>
      </c>
    </row>
    <row r="8">
      <c r="A8" s="28" t="inlineStr">
        <is>
          <t>Coverage</t>
        </is>
      </c>
      <c r="B8" s="28" t="inlineStr">
        <is>
          <t>Uninsured motorist coverage</t>
        </is>
      </c>
      <c r="C8" s="28" t="inlineStr">
        <is>
          <t>Optional; pays the policyholder for damages from an at-fault uninsured driver just as if that driver had been covered</t>
        </is>
      </c>
      <c r="D8" s="28" t="inlineStr">
        <is>
          <t>OCI auto guide</t>
        </is>
      </c>
      <c r="E8" s="28" t="inlineStr">
        <is>
          <t>Georgia OCI - Consumer Guide for Automobile Insurance</t>
        </is>
      </c>
      <c r="F8" s="28" t="inlineStr">
        <is>
          <t>https://oci.georgia.gov/document/document/guide-auto-insurance/download</t>
        </is>
      </c>
      <c r="G8" s="48" t="n">
        <v>46296</v>
      </c>
      <c r="H8" s="28" t="inlineStr">
        <is>
          <t>Georgia</t>
        </is>
      </c>
      <c r="I8" s="28" t="inlineStr">
        <is>
          <t>Regulator-published</t>
        </is>
      </c>
      <c r="J8" s="28" t="inlineStr">
        <is>
          <t>Primary source</t>
        </is>
      </c>
      <c r="K8" s="48" t="n">
        <v>46296</v>
      </c>
    </row>
    <row r="9">
      <c r="A9" s="28" t="inlineStr">
        <is>
          <t>Discounts</t>
        </is>
      </c>
      <c r="B9" s="28" t="inlineStr">
        <is>
          <t>Good student discount (required)</t>
        </is>
      </c>
      <c r="C9" s="28" t="inlineStr">
        <is>
          <t>Insurance companies are required to offer a reduction in liability, first-party medical, and collision rates for drivers who qualify as 'good students' by meeting one of: ranked in the upper 20% of their class, a 'B' average or better, a 3.0 GPA or better, or Dean's List/Honor Roll membership; other conditions may apply</t>
        </is>
      </c>
      <c r="D9" s="28" t="inlineStr">
        <is>
          <t>OCI auto guide</t>
        </is>
      </c>
      <c r="E9" s="28" t="inlineStr">
        <is>
          <t>Georgia OCI - Consumer Guide for Automobile Insurance</t>
        </is>
      </c>
      <c r="F9" s="28" t="inlineStr">
        <is>
          <t>https://oci.georgia.gov/document/document/guide-auto-insurance/download</t>
        </is>
      </c>
      <c r="G9" s="48" t="n">
        <v>46296</v>
      </c>
      <c r="H9" s="28" t="inlineStr">
        <is>
          <t>Georgia</t>
        </is>
      </c>
      <c r="I9" s="28" t="inlineStr">
        <is>
          <t>Regulator-published</t>
        </is>
      </c>
      <c r="J9" s="28" t="inlineStr">
        <is>
          <t>Primary source</t>
        </is>
      </c>
      <c r="K9" s="48" t="n">
        <v>46296</v>
      </c>
    </row>
    <row r="10">
      <c r="A10" s="28" t="inlineStr">
        <is>
          <t>Rating factors</t>
        </is>
      </c>
      <c r="B10" s="28" t="inlineStr">
        <is>
          <t>Common premium factors</t>
        </is>
      </c>
      <c r="C10" s="28" t="inlineStr">
        <is>
          <t>Most insurance companies look at driving records, type of car, use of the vehicle, location of the vehicle, and age of the driver when setting premiums</t>
        </is>
      </c>
      <c r="D10" s="28" t="inlineStr">
        <is>
          <t>OCI auto guide</t>
        </is>
      </c>
      <c r="E10" s="28" t="inlineStr">
        <is>
          <t>Georgia OCI - Consumer Guide for Automobile Insurance</t>
        </is>
      </c>
      <c r="F10" s="28" t="inlineStr">
        <is>
          <t>https://oci.georgia.gov/document/document/guide-auto-insurance/download</t>
        </is>
      </c>
      <c r="G10" s="48" t="n">
        <v>46296</v>
      </c>
      <c r="H10" s="28" t="inlineStr">
        <is>
          <t>Georgia</t>
        </is>
      </c>
      <c r="I10" s="28" t="inlineStr">
        <is>
          <t>Regulator-published</t>
        </is>
      </c>
      <c r="J10" s="28" t="inlineStr">
        <is>
          <t>Primary source</t>
        </is>
      </c>
      <c r="K10" s="48" t="n">
        <v>46296</v>
      </c>
    </row>
    <row r="11">
      <c r="A11" s="28" t="inlineStr">
        <is>
          <t>Quotes</t>
        </is>
      </c>
      <c r="B11" s="28" t="inlineStr">
        <is>
          <t>Quotes are binding once filed</t>
        </is>
      </c>
      <c r="C11" s="28" t="inlineStr">
        <is>
          <t>A quote represents an offer to sell a contract subject to compatibility with the carrier's filings with the Department; an insurance company may not collect a premium for less than or more than the filed amount</t>
        </is>
      </c>
      <c r="D11" s="28" t="inlineStr">
        <is>
          <t>OCI auto guide</t>
        </is>
      </c>
      <c r="E11" s="28" t="inlineStr">
        <is>
          <t>Georgia OCI - Consumer Guide for Automobile Insurance</t>
        </is>
      </c>
      <c r="F11" s="28" t="inlineStr">
        <is>
          <t>https://oci.georgia.gov/document/document/guide-auto-insurance/download</t>
        </is>
      </c>
      <c r="G11" s="48" t="n">
        <v>46296</v>
      </c>
      <c r="H11" s="28" t="inlineStr">
        <is>
          <t>Georgia</t>
        </is>
      </c>
      <c r="I11" s="28" t="inlineStr">
        <is>
          <t>Regulator-published</t>
        </is>
      </c>
      <c r="J11" s="28" t="inlineStr">
        <is>
          <t>Primary source</t>
        </is>
      </c>
      <c r="K11" s="48" t="n">
        <v>46296</v>
      </c>
    </row>
    <row r="12">
      <c r="A12" s="28" t="inlineStr">
        <is>
          <t>Non-renewal</t>
        </is>
      </c>
      <c r="B12" s="28" t="inlineStr">
        <is>
          <t>Non-renewal appeal window</t>
        </is>
      </c>
      <c r="C12" s="28" t="inlineStr">
        <is>
          <t>A policyholder who believes a non-renewal was unfair may request a written review before the Insurance Commissioner or a designee; the request must be made within 15 days of the non-renewal notice and must state why the non-renewal is believed unfair</t>
        </is>
      </c>
      <c r="D12" s="28" t="inlineStr">
        <is>
          <t>OCI auto guide</t>
        </is>
      </c>
      <c r="E12" s="28" t="inlineStr">
        <is>
          <t>Georgia OCI - Consumer Guide for Automobile Insurance</t>
        </is>
      </c>
      <c r="F12" s="28" t="inlineStr">
        <is>
          <t>https://oci.georgia.gov/document/document/guide-auto-insurance/download</t>
        </is>
      </c>
      <c r="G12" s="48" t="n">
        <v>46296</v>
      </c>
      <c r="H12" s="28" t="inlineStr">
        <is>
          <t>Georgia</t>
        </is>
      </c>
      <c r="I12" s="28" t="inlineStr">
        <is>
          <t>Regulator-published</t>
        </is>
      </c>
      <c r="J12" s="28" t="inlineStr">
        <is>
          <t>Primary source</t>
        </is>
      </c>
      <c r="K12" s="48" t="n">
        <v>46296</v>
      </c>
    </row>
    <row r="13">
      <c r="A13" s="28" t="inlineStr">
        <is>
          <t>Non-renewal</t>
        </is>
      </c>
      <c r="B13" s="28" t="inlineStr">
        <is>
          <t>Three-year, one-claim protection</t>
        </is>
      </c>
      <c r="C13" s="28" t="inlineStr">
        <is>
          <t>Georgia law states that if a policyholder has been with the same insurance company for at least three years, the company cannot non-renew the policy because of just one claim, even if the policyholder was at fault for that claim</t>
        </is>
      </c>
      <c r="D13" s="28" t="inlineStr">
        <is>
          <t>OCI auto guide (cites Georgia law)</t>
        </is>
      </c>
      <c r="E13" s="28" t="inlineStr">
        <is>
          <t>Georgia OCI - Consumer Guide for Automobile Insurance</t>
        </is>
      </c>
      <c r="F13" s="28" t="inlineStr">
        <is>
          <t>https://oci.georgia.gov/document/document/guide-auto-insurance/download</t>
        </is>
      </c>
      <c r="G13" s="48" t="n">
        <v>46296</v>
      </c>
      <c r="H13" s="28" t="inlineStr">
        <is>
          <t>Georgia</t>
        </is>
      </c>
      <c r="I13" s="28" t="inlineStr">
        <is>
          <t>Regulator-published</t>
        </is>
      </c>
      <c r="J13" s="28" t="inlineStr">
        <is>
          <t>Primary source</t>
        </is>
      </c>
      <c r="K13" s="48" t="n">
        <v>46296</v>
      </c>
    </row>
    <row r="14">
      <c r="A14" s="28" t="inlineStr">
        <is>
          <t>State-backed plan</t>
        </is>
      </c>
      <c r="B14" s="28" t="inlineStr">
        <is>
          <t>Non-standard insurers</t>
        </is>
      </c>
      <c r="C14" s="28" t="inlineStr">
        <is>
          <t>A 'non-standard' automobile insurance company writes coverage for drivers who have difficulty obtaining insurance through normal means; non-standard companies generally charge higher premiums</t>
        </is>
      </c>
      <c r="D14" s="28" t="inlineStr">
        <is>
          <t>OCI auto guide</t>
        </is>
      </c>
      <c r="E14" s="28" t="inlineStr">
        <is>
          <t>Georgia OCI - Consumer Guide for Automobile Insurance</t>
        </is>
      </c>
      <c r="F14" s="28" t="inlineStr">
        <is>
          <t>https://oci.georgia.gov/document/document/guide-auto-insurance/download</t>
        </is>
      </c>
      <c r="G14" s="48" t="n">
        <v>46296</v>
      </c>
      <c r="H14" s="28" t="inlineStr">
        <is>
          <t>Georgia</t>
        </is>
      </c>
      <c r="I14" s="28" t="inlineStr">
        <is>
          <t>Regulator-published</t>
        </is>
      </c>
      <c r="J14" s="28" t="inlineStr">
        <is>
          <t>Primary source</t>
        </is>
      </c>
      <c r="K14" s="48" t="n">
        <v>46296</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Coverage</t>
        </is>
      </c>
      <c r="B2" s="28" t="inlineStr">
        <is>
          <t>What a homeowners policy covers</t>
        </is>
      </c>
      <c r="C2" s="28" t="inlineStr">
        <is>
          <t>A homeowner's policy usually covers: property damage to the home and other detached buildings; contents and personal belongings; reimbursement for additional living expenses if the home is damaged and uninhabitable; and personal liability for injuries to others or damage to their property</t>
        </is>
      </c>
      <c r="D2" s="28" t="inlineStr">
        <is>
          <t>OCI homeowners guide</t>
        </is>
      </c>
      <c r="E2" s="28" t="inlineStr">
        <is>
          <t>Georgia OCI - Consumer Guide for Homeowners Insurance</t>
        </is>
      </c>
      <c r="F2" s="28" t="inlineStr">
        <is>
          <t>https://ociapp.oci.ga.gov/Resources/Documents/ConsumerServices/Guide%20for%20Homeowners%20Insurance.pdf</t>
        </is>
      </c>
      <c r="G2" s="48" t="n">
        <v>46296</v>
      </c>
      <c r="H2" s="28" t="inlineStr">
        <is>
          <t>Georgia</t>
        </is>
      </c>
      <c r="I2" s="28" t="inlineStr">
        <is>
          <t>Regulator-published</t>
        </is>
      </c>
      <c r="J2" s="28" t="inlineStr">
        <is>
          <t>Primary source</t>
        </is>
      </c>
      <c r="K2" s="48" t="n">
        <v>46296</v>
      </c>
    </row>
    <row r="3">
      <c r="A3" s="28" t="inlineStr">
        <is>
          <t>Coverage</t>
        </is>
      </c>
      <c r="B3" s="28" t="inlineStr">
        <is>
          <t>Common exclusions</t>
        </is>
      </c>
      <c r="C3" s="28" t="inlineStr">
        <is>
          <t>Most homeowners policies will not cover vehicles or vehicle stereo equipment, or losses from natural disasters such as flooding, earthquakes, or nuclear accidents; separate coverage can usually be purchased for these</t>
        </is>
      </c>
      <c r="D3" s="28" t="inlineStr">
        <is>
          <t>OCI homeowners guide</t>
        </is>
      </c>
      <c r="E3" s="28" t="inlineStr">
        <is>
          <t>Georgia OCI - Consumer Guide for Homeowners Insurance</t>
        </is>
      </c>
      <c r="F3" s="28" t="inlineStr">
        <is>
          <t>https://ociapp.oci.ga.gov/Resources/Documents/ConsumerServices/Guide%20for%20Homeowners%20Insurance.pdf</t>
        </is>
      </c>
      <c r="G3" s="48" t="n">
        <v>46296</v>
      </c>
      <c r="H3" s="28" t="inlineStr">
        <is>
          <t>Georgia</t>
        </is>
      </c>
      <c r="I3" s="28" t="inlineStr">
        <is>
          <t>Regulator-published</t>
        </is>
      </c>
      <c r="J3" s="28" t="inlineStr">
        <is>
          <t>Primary source</t>
        </is>
      </c>
      <c r="K3" s="48" t="n">
        <v>46296</v>
      </c>
    </row>
    <row r="4">
      <c r="A4" s="28" t="inlineStr">
        <is>
          <t>Settlement</t>
        </is>
      </c>
      <c r="B4" s="28" t="inlineStr">
        <is>
          <t>Replacement cost vs actual cash value</t>
        </is>
      </c>
      <c r="C4" s="28" t="inlineStr">
        <is>
          <t>Most standard policies provide replacement cost coverage for the dwelling up to the policy limit, but settle contents and personal belongings at actual cash value (replacement cost minus depreciation) unless replacement-cost coverage is added for an additional charge</t>
        </is>
      </c>
      <c r="D4" s="28" t="inlineStr">
        <is>
          <t>OCI homeowners guide</t>
        </is>
      </c>
      <c r="E4" s="28" t="inlineStr">
        <is>
          <t>Georgia OCI - Consumer Guide for Homeowners Insurance</t>
        </is>
      </c>
      <c r="F4" s="28" t="inlineStr">
        <is>
          <t>https://ociapp.oci.ga.gov/Resources/Documents/ConsumerServices/Guide%20for%20Homeowners%20Insurance.pdf</t>
        </is>
      </c>
      <c r="G4" s="48" t="n">
        <v>46296</v>
      </c>
      <c r="H4" s="28" t="inlineStr">
        <is>
          <t>Georgia</t>
        </is>
      </c>
      <c r="I4" s="28" t="inlineStr">
        <is>
          <t>Regulator-published</t>
        </is>
      </c>
      <c r="J4" s="28" t="inlineStr">
        <is>
          <t>Primary source</t>
        </is>
      </c>
      <c r="K4" s="48" t="n">
        <v>46296</v>
      </c>
    </row>
    <row r="5">
      <c r="A5" s="28" t="inlineStr">
        <is>
          <t>Settlement</t>
        </is>
      </c>
      <c r="B5" s="28" t="inlineStr">
        <is>
          <t>80% replacement-value guideline</t>
        </is>
      </c>
      <c r="C5" s="28" t="inlineStr">
        <is>
          <t>It is generally best to insure a home at the full cost to rebuild; choosing to insure for less than 80% of the home's replacement value may mean not receiving the full value of a claim</t>
        </is>
      </c>
      <c r="D5" s="28" t="inlineStr">
        <is>
          <t>OCI homeowners guide</t>
        </is>
      </c>
      <c r="E5" s="28" t="inlineStr">
        <is>
          <t>Georgia OCI - Consumer Guide for Homeowners Insurance</t>
        </is>
      </c>
      <c r="F5" s="28" t="inlineStr">
        <is>
          <t>https://ociapp.oci.ga.gov/Resources/Documents/ConsumerServices/Guide%20for%20Homeowners%20Insurance.pdf</t>
        </is>
      </c>
      <c r="G5" s="48" t="n">
        <v>46296</v>
      </c>
      <c r="H5" s="28" t="inlineStr">
        <is>
          <t>Georgia</t>
        </is>
      </c>
      <c r="I5" s="28" t="inlineStr">
        <is>
          <t>Regulator-published</t>
        </is>
      </c>
      <c r="J5" s="28" t="inlineStr">
        <is>
          <t>Primary source</t>
        </is>
      </c>
      <c r="K5" s="48" t="n">
        <v>46296</v>
      </c>
    </row>
    <row r="6">
      <c r="A6" s="28" t="inlineStr">
        <is>
          <t>Coverage</t>
        </is>
      </c>
      <c r="B6" s="28" t="inlineStr">
        <is>
          <t>Contents coverage guideline</t>
        </is>
      </c>
      <c r="C6" s="28" t="inlineStr">
        <is>
          <t>Coverage of a home's contents is usually recommended at an amount equal to at least half of the dwelling (structure) coverage</t>
        </is>
      </c>
      <c r="D6" s="28" t="inlineStr">
        <is>
          <t>OCI homeowners guide</t>
        </is>
      </c>
      <c r="E6" s="28" t="inlineStr">
        <is>
          <t>Georgia OCI - Consumer Guide for Homeowners Insurance</t>
        </is>
      </c>
      <c r="F6" s="28" t="inlineStr">
        <is>
          <t>https://ociapp.oci.ga.gov/Resources/Documents/ConsumerServices/Guide%20for%20Homeowners%20Insurance.pdf</t>
        </is>
      </c>
      <c r="G6" s="48" t="n">
        <v>46296</v>
      </c>
      <c r="H6" s="28" t="inlineStr">
        <is>
          <t>Georgia</t>
        </is>
      </c>
      <c r="I6" s="28" t="inlineStr">
        <is>
          <t>Regulator-published</t>
        </is>
      </c>
      <c r="J6" s="28" t="inlineStr">
        <is>
          <t>Primary source</t>
        </is>
      </c>
      <c r="K6" s="48" t="n">
        <v>46296</v>
      </c>
    </row>
    <row r="7">
      <c r="A7" s="28" t="inlineStr">
        <is>
          <t>Coverage</t>
        </is>
      </c>
      <c r="B7" s="28" t="inlineStr">
        <is>
          <t>Special limits on valuables</t>
        </is>
      </c>
      <c r="C7" s="28" t="inlineStr">
        <is>
          <t>Theft following a disaster imposes low monetary limits on items such as money, jewelry, furs, silverware, and guns unless they are specifically scheduled; higher limits may be warranted for these items</t>
        </is>
      </c>
      <c r="D7" s="28" t="inlineStr">
        <is>
          <t>OCI homeowners guide</t>
        </is>
      </c>
      <c r="E7" s="28" t="inlineStr">
        <is>
          <t>Georgia OCI - Consumer Guide for Homeowners Insurance</t>
        </is>
      </c>
      <c r="F7" s="28" t="inlineStr">
        <is>
          <t>https://ociapp.oci.ga.gov/Resources/Documents/ConsumerServices/Guide%20for%20Homeowners%20Insurance.pdf</t>
        </is>
      </c>
      <c r="G7" s="48" t="n">
        <v>46296</v>
      </c>
      <c r="H7" s="28" t="inlineStr">
        <is>
          <t>Georgia</t>
        </is>
      </c>
      <c r="I7" s="28" t="inlineStr">
        <is>
          <t>Regulator-published</t>
        </is>
      </c>
      <c r="J7" s="28" t="inlineStr">
        <is>
          <t>Primary source</t>
        </is>
      </c>
      <c r="K7" s="48" t="n">
        <v>46296</v>
      </c>
    </row>
    <row r="8">
      <c r="A8" s="28" t="inlineStr">
        <is>
          <t>Coverage</t>
        </is>
      </c>
      <c r="B8" s="28" t="inlineStr">
        <is>
          <t>Water damage from appliances vs. flooding</t>
        </is>
      </c>
      <c r="C8" s="28" t="inlineStr">
        <is>
          <t>Water damage from an overflowing washing machine or dishwasher is normally covered by a homeowner's policy, but damage from rising flood water during a storm is not</t>
        </is>
      </c>
      <c r="D8" s="28" t="inlineStr">
        <is>
          <t>OCI homeowners guide</t>
        </is>
      </c>
      <c r="E8" s="28" t="inlineStr">
        <is>
          <t>Georgia OCI - Consumer Guide for Homeowners Insurance</t>
        </is>
      </c>
      <c r="F8" s="28" t="inlineStr">
        <is>
          <t>https://ociapp.oci.ga.gov/Resources/Documents/ConsumerServices/Guide%20for%20Homeowners%20Insurance.pdf</t>
        </is>
      </c>
      <c r="G8" s="48" t="n">
        <v>46296</v>
      </c>
      <c r="H8" s="28" t="inlineStr">
        <is>
          <t>Georgia</t>
        </is>
      </c>
      <c r="I8" s="28" t="inlineStr">
        <is>
          <t>Regulator-published</t>
        </is>
      </c>
      <c r="J8" s="28" t="inlineStr">
        <is>
          <t>Primary source</t>
        </is>
      </c>
      <c r="K8" s="48" t="n">
        <v>46296</v>
      </c>
    </row>
    <row r="9">
      <c r="A9" s="28" t="inlineStr">
        <is>
          <t>Coverage</t>
        </is>
      </c>
      <c r="B9" s="28" t="inlineStr">
        <is>
          <t>Flood insurance availability</t>
        </is>
      </c>
      <c r="C9" s="28" t="inlineStr">
        <is>
          <t>If a homeowner's local government participates in the Federal Flood Program, the homeowner can request a special flood insurance policy</t>
        </is>
      </c>
      <c r="D9" s="28" t="inlineStr">
        <is>
          <t>OCI homeowners guide</t>
        </is>
      </c>
      <c r="E9" s="28" t="inlineStr">
        <is>
          <t>Georgia OCI - Consumer Guide for Homeowners Insurance</t>
        </is>
      </c>
      <c r="F9" s="28" t="inlineStr">
        <is>
          <t>https://ociapp.oci.ga.gov/Resources/Documents/ConsumerServices/Guide%20for%20Homeowners%20Insurance.pdf</t>
        </is>
      </c>
      <c r="G9" s="48" t="n">
        <v>46296</v>
      </c>
      <c r="H9" s="28" t="inlineStr">
        <is>
          <t>Georgia</t>
        </is>
      </c>
      <c r="I9" s="28" t="inlineStr">
        <is>
          <t>Regulator-published</t>
        </is>
      </c>
      <c r="J9" s="28" t="inlineStr">
        <is>
          <t>Primary source</t>
        </is>
      </c>
      <c r="K9" s="48" t="n">
        <v>46296</v>
      </c>
      <c r="L9" s="28" t="inlineStr">
        <is>
          <t>Guide lists 800-427-4661 (the NFIP's consumer line) for more information.</t>
        </is>
      </c>
    </row>
    <row r="10">
      <c r="A10" s="28" t="inlineStr">
        <is>
          <t>Coverage</t>
        </is>
      </c>
      <c r="B10" s="28" t="inlineStr">
        <is>
          <t>Loss of use / additional living expenses</t>
        </is>
      </c>
      <c r="C10" s="28" t="inlineStr">
        <is>
          <t>Many homeowners policies have provisions to pay a reasonable increase in living expenses needed to maintain the insured's normal standard of living if the home becomes uninhabitable; whether this coverage exists, and in what amount, depends on the specific policy</t>
        </is>
      </c>
      <c r="D10" s="28" t="inlineStr">
        <is>
          <t>OCI homeowners guide</t>
        </is>
      </c>
      <c r="E10" s="28" t="inlineStr">
        <is>
          <t>Georgia OCI - Consumer Guide for Homeowners Insurance</t>
        </is>
      </c>
      <c r="F10" s="28" t="inlineStr">
        <is>
          <t>https://ociapp.oci.ga.gov/Resources/Documents/ConsumerServices/Guide%20for%20Homeowners%20Insurance.pdf</t>
        </is>
      </c>
      <c r="G10" s="48" t="n">
        <v>46296</v>
      </c>
      <c r="H10" s="28" t="inlineStr">
        <is>
          <t>Georgia</t>
        </is>
      </c>
      <c r="I10" s="28" t="inlineStr">
        <is>
          <t>Regulator-published</t>
        </is>
      </c>
      <c r="J10" s="28" t="inlineStr">
        <is>
          <t>Primary source</t>
        </is>
      </c>
      <c r="K10" s="48" t="n">
        <v>46296</v>
      </c>
    </row>
    <row r="11">
      <c r="A11" s="28" t="inlineStr">
        <is>
          <t>Coverage</t>
        </is>
      </c>
      <c r="B11" s="28" t="inlineStr">
        <is>
          <t>Renter's insurance</t>
        </is>
      </c>
      <c r="C11" s="28" t="inlineStr">
        <is>
          <t>A renter's policy covers the contents of the rented unit but does not insure the structure itself; insurance for the structure of a rental building is generally carried by the building's owner</t>
        </is>
      </c>
      <c r="D11" s="28" t="inlineStr">
        <is>
          <t>OCI homeowners guide</t>
        </is>
      </c>
      <c r="E11" s="28" t="inlineStr">
        <is>
          <t>Georgia OCI - Consumer Guide for Homeowners Insurance</t>
        </is>
      </c>
      <c r="F11" s="28" t="inlineStr">
        <is>
          <t>https://ociapp.oci.ga.gov/Resources/Documents/ConsumerServices/Guide%20for%20Homeowners%20Insurance.pdf</t>
        </is>
      </c>
      <c r="G11" s="48" t="n">
        <v>46296</v>
      </c>
      <c r="H11" s="28" t="inlineStr">
        <is>
          <t>Georgia</t>
        </is>
      </c>
      <c r="I11" s="28" t="inlineStr">
        <is>
          <t>Regulator-published</t>
        </is>
      </c>
      <c r="J11" s="28" t="inlineStr">
        <is>
          <t>Primary source</t>
        </is>
      </c>
      <c r="K11" s="48" t="n">
        <v>46296</v>
      </c>
    </row>
    <row r="12">
      <c r="A12" s="28" t="inlineStr">
        <is>
          <t>Discounts</t>
        </is>
      </c>
      <c r="B12" s="28" t="inlineStr">
        <is>
          <t>Safety-feature discounts</t>
        </is>
      </c>
      <c r="C12" s="28" t="inlineStr">
        <is>
          <t>Most insurance carriers offer discounts for home safety features such as smoke alarms; the amount of the reduction varies by company</t>
        </is>
      </c>
      <c r="D12" s="28" t="inlineStr">
        <is>
          <t>OCI homeowners guide</t>
        </is>
      </c>
      <c r="E12" s="28" t="inlineStr">
        <is>
          <t>Georgia OCI - Consumer Guide for Homeowners Insurance</t>
        </is>
      </c>
      <c r="F12" s="28" t="inlineStr">
        <is>
          <t>https://ociapp.oci.ga.gov/Resources/Documents/ConsumerServices/Guide%20for%20Homeowners%20Insurance.pdf</t>
        </is>
      </c>
      <c r="G12" s="48" t="n">
        <v>46296</v>
      </c>
      <c r="H12" s="28" t="inlineStr">
        <is>
          <t>Georgia</t>
        </is>
      </c>
      <c r="I12" s="28" t="inlineStr">
        <is>
          <t>Regulator-published</t>
        </is>
      </c>
      <c r="J12" s="28" t="inlineStr">
        <is>
          <t>Primary source</t>
        </is>
      </c>
      <c r="K12" s="48" t="n">
        <v>46296</v>
      </c>
    </row>
    <row r="13">
      <c r="A13" s="28" t="inlineStr">
        <is>
          <t>Georgia FAIR Plan</t>
        </is>
      </c>
      <c r="B13" s="28" t="inlineStr">
        <is>
          <t>What it is</t>
        </is>
      </c>
      <c r="C13" s="28" t="inlineStr">
        <is>
          <t>The Georgia FAIR Plan is an association of Georgia-licensed insurers, authorized by the state insurance code, to maintain fair access to property insurance for homeowners who cannot obtain coverage in the standard market</t>
        </is>
      </c>
      <c r="D13" s="28" t="inlineStr">
        <is>
          <t>OCI homeowners guide</t>
        </is>
      </c>
      <c r="E13" s="28" t="inlineStr">
        <is>
          <t>Georgia OCI - Consumer Guide for Homeowners Insurance</t>
        </is>
      </c>
      <c r="F13" s="28" t="inlineStr">
        <is>
          <t>https://ociapp.oci.ga.gov/Resources/Documents/ConsumerServices/Guide%20for%20Homeowners%20Insurance.pdf</t>
        </is>
      </c>
      <c r="G13" s="48" t="n">
        <v>46296</v>
      </c>
      <c r="H13" s="28" t="inlineStr">
        <is>
          <t>Georgia</t>
        </is>
      </c>
      <c r="I13" s="28" t="inlineStr">
        <is>
          <t>Regulator-published</t>
        </is>
      </c>
      <c r="J13" s="28" t="inlineStr">
        <is>
          <t>Primary source</t>
        </is>
      </c>
      <c r="K13" s="48" t="n">
        <v>46296</v>
      </c>
      <c r="L13" s="28" t="inlineStr">
        <is>
          <t>Guide lists (770) 923-7431 as the Fair Plan's contact number.</t>
        </is>
      </c>
    </row>
    <row r="14">
      <c r="A14" s="28" t="inlineStr">
        <is>
          <t>Non-renewal</t>
        </is>
      </c>
      <c r="B14" s="28" t="inlineStr">
        <is>
          <t>What to do about a non-renewal</t>
        </is>
      </c>
      <c r="C14" s="28" t="inlineStr">
        <is>
          <t>A homeowner whose policy is not being renewed should first contact the Commissioner's Consumer Services Division to find out whether the non-renewal meets statutory requirements and whether it can be rescinded</t>
        </is>
      </c>
      <c r="D14" s="28" t="inlineStr">
        <is>
          <t>OCI homeowners guide</t>
        </is>
      </c>
      <c r="E14" s="28" t="inlineStr">
        <is>
          <t>Georgia OCI - Consumer Guide for Homeowners Insurance</t>
        </is>
      </c>
      <c r="F14" s="28" t="inlineStr">
        <is>
          <t>https://ociapp.oci.ga.gov/Resources/Documents/ConsumerServices/Guide%20for%20Homeowners%20Insurance.pdf</t>
        </is>
      </c>
      <c r="G14" s="48" t="n">
        <v>46296</v>
      </c>
      <c r="H14" s="28" t="inlineStr">
        <is>
          <t>Georgia</t>
        </is>
      </c>
      <c r="I14" s="28" t="inlineStr">
        <is>
          <t>Regulator-published</t>
        </is>
      </c>
      <c r="J14" s="28" t="inlineStr">
        <is>
          <t>Primary source</t>
        </is>
      </c>
      <c r="K14" s="48" t="n">
        <v>46296</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Minimum liability</t>
        </is>
      </c>
      <c r="B2" s="28" t="inlineStr">
        <is>
          <t>Bodily injury per person</t>
        </is>
      </c>
      <c r="C2" s="28" t="inlineStr">
        <is>
          <t>$50,000 (raised from $30,000 for policies issued/renewed on or after July 1, 2025)</t>
        </is>
      </c>
      <c r="D2" s="28" t="inlineStr">
        <is>
          <t>NCDOI bulletin</t>
        </is>
      </c>
      <c r="E2" s="28" t="inlineStr">
        <is>
          <t>NCDOI - Changes to the Rating of Automobile Insurance Policies</t>
        </is>
      </c>
      <c r="F2" s="28" t="inlineStr">
        <is>
          <t>https://www.ncdoi.gov/changes-rating-automobile-insurance-policies-effective-july-1-2025</t>
        </is>
      </c>
      <c r="G2" s="48" t="n">
        <v>46296</v>
      </c>
      <c r="H2" s="28" t="inlineStr">
        <is>
          <t>North Carolina</t>
        </is>
      </c>
      <c r="I2" s="28" t="inlineStr">
        <is>
          <t>Regulator-published</t>
        </is>
      </c>
      <c r="J2" s="28" t="inlineStr">
        <is>
          <t>Primary source</t>
        </is>
      </c>
      <c r="K2" s="48" t="n">
        <v>46296</v>
      </c>
    </row>
    <row r="3">
      <c r="A3" s="28" t="inlineStr">
        <is>
          <t>Minimum liability</t>
        </is>
      </c>
      <c r="B3" s="28" t="inlineStr">
        <is>
          <t>Bodily injury per accident</t>
        </is>
      </c>
      <c r="C3" s="28" t="inlineStr">
        <is>
          <t>$100,000 (raised from $60,000 for policies issued/renewed on or after July 1, 2025)</t>
        </is>
      </c>
      <c r="D3" s="28" t="inlineStr">
        <is>
          <t>NCDOI bulletin</t>
        </is>
      </c>
      <c r="E3" s="28" t="inlineStr">
        <is>
          <t>NCDOI - Changes to the Rating of Automobile Insurance Policies</t>
        </is>
      </c>
      <c r="F3" s="28" t="inlineStr">
        <is>
          <t>https://www.ncdoi.gov/changes-rating-automobile-insurance-policies-effective-july-1-2025</t>
        </is>
      </c>
      <c r="G3" s="48" t="n">
        <v>46296</v>
      </c>
      <c r="H3" s="28" t="inlineStr">
        <is>
          <t>North Carolina</t>
        </is>
      </c>
      <c r="I3" s="28" t="inlineStr">
        <is>
          <t>Regulator-published</t>
        </is>
      </c>
      <c r="J3" s="28" t="inlineStr">
        <is>
          <t>Primary source</t>
        </is>
      </c>
      <c r="K3" s="48" t="n">
        <v>46296</v>
      </c>
    </row>
    <row r="4">
      <c r="A4" s="28" t="inlineStr">
        <is>
          <t>Minimum liability</t>
        </is>
      </c>
      <c r="B4" s="28" t="inlineStr">
        <is>
          <t>Property damage</t>
        </is>
      </c>
      <c r="C4" s="28" t="inlineStr">
        <is>
          <t>$50,000 (raised from $25,000 for policies issued/renewed on or after July 1, 2025)</t>
        </is>
      </c>
      <c r="D4" s="28" t="inlineStr">
        <is>
          <t>NCDOI bulletin</t>
        </is>
      </c>
      <c r="E4" s="28" t="inlineStr">
        <is>
          <t>NCDOI - Changes to the Rating of Automobile Insurance Policies</t>
        </is>
      </c>
      <c r="F4" s="28" t="inlineStr">
        <is>
          <t>https://www.ncdoi.gov/changes-rating-automobile-insurance-policies-effective-july-1-2025</t>
        </is>
      </c>
      <c r="G4" s="48" t="n">
        <v>46296</v>
      </c>
      <c r="H4" s="28" t="inlineStr">
        <is>
          <t>North Carolina</t>
        </is>
      </c>
      <c r="I4" s="28" t="inlineStr">
        <is>
          <t>Regulator-published</t>
        </is>
      </c>
      <c r="J4" s="28" t="inlineStr">
        <is>
          <t>Primary source</t>
        </is>
      </c>
      <c r="K4" s="48" t="n">
        <v>46296</v>
      </c>
    </row>
    <row r="5">
      <c r="A5" s="28" t="inlineStr">
        <is>
          <t>Coverage</t>
        </is>
      </c>
      <c r="B5" s="28" t="inlineStr">
        <is>
          <t>Underinsured motorist now required</t>
        </is>
      </c>
      <c r="C5" s="28" t="inlineStr">
        <is>
          <t>Underinsured motorist coverage is included in all new or renewed policies on or after July 1, 2025; previously, policies at the old minimum limits did not include it automatically</t>
        </is>
      </c>
      <c r="D5" s="28" t="inlineStr">
        <is>
          <t>NCDOI bulletin</t>
        </is>
      </c>
      <c r="E5" s="28" t="inlineStr">
        <is>
          <t>NCDOI - Changes to the Rating of Automobile Insurance Policies</t>
        </is>
      </c>
      <c r="F5" s="28" t="inlineStr">
        <is>
          <t>https://www.ncdoi.gov/changes-rating-automobile-insurance-policies-effective-july-1-2025</t>
        </is>
      </c>
      <c r="G5" s="48" t="n">
        <v>46296</v>
      </c>
      <c r="H5" s="28" t="inlineStr">
        <is>
          <t>North Carolina</t>
        </is>
      </c>
      <c r="I5" s="28" t="inlineStr">
        <is>
          <t>Regulator-published</t>
        </is>
      </c>
      <c r="J5" s="28" t="inlineStr">
        <is>
          <t>Primary source</t>
        </is>
      </c>
      <c r="K5" s="48" t="n">
        <v>46296</v>
      </c>
    </row>
    <row r="6">
      <c r="A6" s="28" t="inlineStr">
        <is>
          <t>Coverage</t>
        </is>
      </c>
      <c r="B6" s="28" t="inlineStr">
        <is>
          <t>Uninsured motorist coverage</t>
        </is>
      </c>
      <c r="C6" s="28" t="inlineStr">
        <is>
          <t>Uninsured/underinsured motorist coverage is mandated on all policies, even those exceeding the minimum liability limits</t>
        </is>
      </c>
      <c r="D6" s="28" t="inlineStr">
        <is>
          <t>NC DMV insurance requirements page</t>
        </is>
      </c>
      <c r="E6" s="28" t="inlineStr">
        <is>
          <t>NC DMV - Vehicle Insurance Requirements</t>
        </is>
      </c>
      <c r="F6" s="28" t="inlineStr">
        <is>
          <t>https://www.ncdot.gov/dmv/title-registration/insurance-requirements/Pages/default.aspx</t>
        </is>
      </c>
      <c r="G6" s="48" t="n">
        <v>46296</v>
      </c>
      <c r="H6" s="28" t="inlineStr">
        <is>
          <t>North Carolina</t>
        </is>
      </c>
      <c r="I6" s="28" t="inlineStr">
        <is>
          <t>Regulator-published</t>
        </is>
      </c>
      <c r="J6" s="28" t="inlineStr">
        <is>
          <t>Primary source</t>
        </is>
      </c>
      <c r="K6" s="48" t="n">
        <v>46296</v>
      </c>
    </row>
    <row r="7">
      <c r="A7" s="28" t="inlineStr">
        <is>
          <t>Coverage</t>
        </is>
      </c>
      <c r="B7" s="28" t="inlineStr">
        <is>
          <t>Proof of insurance (FS-1)</t>
        </is>
      </c>
      <c r="C7" s="28" t="inlineStr">
        <is>
          <t>Insurance companies must electronically submit a Certificate of Insurance (FS-1) to demonstrate continuous coverage; only policies from insurers licensed to do business in North Carolina are accepted, so out-of-state policies are rejected</t>
        </is>
      </c>
      <c r="D7" s="28" t="inlineStr">
        <is>
          <t>NC DMV insurance requirements page</t>
        </is>
      </c>
      <c r="E7" s="28" t="inlineStr">
        <is>
          <t>NC DMV - Vehicle Insurance Requirements</t>
        </is>
      </c>
      <c r="F7" s="28" t="inlineStr">
        <is>
          <t>https://www.ncdot.gov/dmv/title-registration/insurance-requirements/Pages/default.aspx</t>
        </is>
      </c>
      <c r="G7" s="48" t="n">
        <v>46296</v>
      </c>
      <c r="H7" s="28" t="inlineStr">
        <is>
          <t>North Carolina</t>
        </is>
      </c>
      <c r="I7" s="28" t="inlineStr">
        <is>
          <t>Regulator-published</t>
        </is>
      </c>
      <c r="J7" s="28" t="inlineStr">
        <is>
          <t>Primary source</t>
        </is>
      </c>
      <c r="K7" s="48" t="n">
        <v>46296</v>
      </c>
    </row>
    <row r="8">
      <c r="A8" s="28" t="inlineStr">
        <is>
          <t>Cancellation</t>
        </is>
      </c>
      <c r="B8" s="28" t="inlineStr">
        <is>
          <t>Penalties for a lapse in coverage</t>
        </is>
      </c>
      <c r="C8" s="28" t="inlineStr">
        <is>
          <t>Civil penalties for a lapse range from $50 to $150 depending on prior lapse history within three years, plus a $50 restoration fee at registration renewal; license plate revocation is possible for unpaid penalties</t>
        </is>
      </c>
      <c r="D8" s="28" t="inlineStr">
        <is>
          <t>NC DMV insurance requirements page</t>
        </is>
      </c>
      <c r="E8" s="28" t="inlineStr">
        <is>
          <t>NC DMV - Vehicle Insurance Requirements</t>
        </is>
      </c>
      <c r="F8" s="28" t="inlineStr">
        <is>
          <t>https://www.ncdot.gov/dmv/title-registration/insurance-requirements/Pages/default.aspx</t>
        </is>
      </c>
      <c r="G8" s="48" t="n">
        <v>46296</v>
      </c>
      <c r="H8" s="28" t="inlineStr">
        <is>
          <t>North Carolina</t>
        </is>
      </c>
      <c r="I8" s="28" t="inlineStr">
        <is>
          <t>Regulator-published</t>
        </is>
      </c>
      <c r="J8" s="28" t="inlineStr">
        <is>
          <t>Primary source</t>
        </is>
      </c>
      <c r="K8" s="48" t="n">
        <v>46296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NC FAIR Plan</t>
        </is>
      </c>
      <c r="B2" s="28" t="inlineStr">
        <is>
          <t>What it is</t>
        </is>
      </c>
      <c r="C2" s="28" t="inlineStr">
        <is>
          <t>A market of last resort created by the NC General Assembly in 1969, offering full peril commercial fire and dwelling fire coverage statewide, excluding the beach area</t>
        </is>
      </c>
      <c r="D2" s="28" t="inlineStr">
        <is>
          <t>NCJUA/NCIUA (FAIR/Beach Plans administrator)</t>
        </is>
      </c>
      <c r="E2" s="28" t="inlineStr">
        <is>
          <t>NC Joint Underwriting Association / Insurance Underwriting Association (FAIR/Beach Plans)</t>
        </is>
      </c>
      <c r="F2" s="28" t="inlineStr">
        <is>
          <t>https://www.ncjua-nciua.org/html/svcs_cov.htm</t>
        </is>
      </c>
      <c r="G2" s="48" t="n">
        <v>46296</v>
      </c>
      <c r="H2" s="28" t="inlineStr">
        <is>
          <t>North Carolina</t>
        </is>
      </c>
      <c r="I2" s="28" t="inlineStr">
        <is>
          <t>Regulator-published</t>
        </is>
      </c>
      <c r="J2" s="28" t="inlineStr">
        <is>
          <t>Primary source</t>
        </is>
      </c>
      <c r="K2" s="48" t="n">
        <v>46296</v>
      </c>
    </row>
    <row r="3">
      <c r="A3" s="28" t="inlineStr">
        <is>
          <t>NC FAIR Plan</t>
        </is>
      </c>
      <c r="B3" s="28" t="inlineStr">
        <is>
          <t>Coverage limits</t>
        </is>
      </c>
      <c r="C3" s="28" t="inlineStr">
        <is>
          <t>Maximum residential building coverage of $1,000,000; personal property capped at 40% of the building coverage limit</t>
        </is>
      </c>
      <c r="D3" s="28" t="inlineStr">
        <is>
          <t>NCJUA/NCIUA (FAIR/Beach Plans administrator)</t>
        </is>
      </c>
      <c r="E3" s="28" t="inlineStr">
        <is>
          <t>NC Joint Underwriting Association / Insurance Underwriting Association (FAIR/Beach Plans)</t>
        </is>
      </c>
      <c r="F3" s="28" t="inlineStr">
        <is>
          <t>https://www.ncjua-nciua.org/html/svcs_cov.htm</t>
        </is>
      </c>
      <c r="G3" s="48" t="n">
        <v>46296</v>
      </c>
      <c r="H3" s="28" t="inlineStr">
        <is>
          <t>North Carolina</t>
        </is>
      </c>
      <c r="I3" s="28" t="inlineStr">
        <is>
          <t>Regulator-published</t>
        </is>
      </c>
      <c r="J3" s="28" t="inlineStr">
        <is>
          <t>Primary source</t>
        </is>
      </c>
      <c r="K3" s="48" t="n">
        <v>46296</v>
      </c>
    </row>
    <row r="4">
      <c r="A4" s="28" t="inlineStr">
        <is>
          <t>NC Beach Plan</t>
        </is>
      </c>
      <c r="B4" s="28" t="inlineStr">
        <is>
          <t>What it is</t>
        </is>
      </c>
      <c r="C4" s="28" t="inlineStr">
        <is>
          <t>The Coastal Property Insurance Pool (formerly the Beach Plan) offers commercial, homeowner, and dwelling windstorm coverage, plus homeowner and commercial fire coverage, to properties in the 18 eligible coastal counties</t>
        </is>
      </c>
      <c r="D4" s="28" t="inlineStr">
        <is>
          <t>NCJUA/NCIUA (FAIR/Beach Plans administrator)</t>
        </is>
      </c>
      <c r="E4" s="28" t="inlineStr">
        <is>
          <t>NC Joint Underwriting Association / Insurance Underwriting Association (FAIR/Beach Plans)</t>
        </is>
      </c>
      <c r="F4" s="28" t="inlineStr">
        <is>
          <t>https://www.ncjua-nciua.org/html/svcs_cov.htm</t>
        </is>
      </c>
      <c r="G4" s="48" t="n">
        <v>46296</v>
      </c>
      <c r="H4" s="28" t="inlineStr">
        <is>
          <t>North Carolina</t>
        </is>
      </c>
      <c r="I4" s="28" t="inlineStr">
        <is>
          <t>Regulator-published</t>
        </is>
      </c>
      <c r="J4" s="28" t="inlineStr">
        <is>
          <t>Primary source</t>
        </is>
      </c>
      <c r="K4" s="48" t="n">
        <v>46296</v>
      </c>
    </row>
    <row r="5">
      <c r="A5" s="28" t="inlineStr">
        <is>
          <t>NC Beach Plan</t>
        </is>
      </c>
      <c r="B5" s="28" t="inlineStr">
        <is>
          <t>Coverage limits</t>
        </is>
      </c>
      <c r="C5" s="28" t="inlineStr">
        <is>
          <t>Maximum residential building coverage of $1,000,000; personal property capped at 40% of the building coverage limit; maximum commercial combined limit of $4 million</t>
        </is>
      </c>
      <c r="D5" s="28" t="inlineStr">
        <is>
          <t>NCJUA/NCIUA (FAIR/Beach Plans administrator)</t>
        </is>
      </c>
      <c r="E5" s="28" t="inlineStr">
        <is>
          <t>NC Joint Underwriting Association / Insurance Underwriting Association (FAIR/Beach Plans)</t>
        </is>
      </c>
      <c r="F5" s="28" t="inlineStr">
        <is>
          <t>https://www.ncjua-nciua.org/html/svcs_cov.htm</t>
        </is>
      </c>
      <c r="G5" s="48" t="n">
        <v>46296</v>
      </c>
      <c r="H5" s="28" t="inlineStr">
        <is>
          <t>North Carolina</t>
        </is>
      </c>
      <c r="I5" s="28" t="inlineStr">
        <is>
          <t>Regulator-published</t>
        </is>
      </c>
      <c r="J5" s="28" t="inlineStr">
        <is>
          <t>Primary source</t>
        </is>
      </c>
      <c r="K5" s="48" t="n">
        <v>46296</v>
      </c>
    </row>
    <row r="6">
      <c r="A6" s="28" t="inlineStr">
        <is>
          <t>NC Beach Plan</t>
        </is>
      </c>
      <c r="B6" s="28" t="inlineStr">
        <is>
          <t>Windstorm eligibility condition</t>
        </is>
      </c>
      <c r="C6" s="28" t="inlineStr">
        <is>
          <t>The windstorm product requires an active primary coverage policy from a carrier admitted in North Carolina that has excluded windstorm coverage</t>
        </is>
      </c>
      <c r="D6" s="28" t="inlineStr">
        <is>
          <t>NCJUA/NCIUA (FAIR/Beach Plans administrator)</t>
        </is>
      </c>
      <c r="E6" s="28" t="inlineStr">
        <is>
          <t>NC Joint Underwriting Association / Insurance Underwriting Association (FAIR/Beach Plans)</t>
        </is>
      </c>
      <c r="F6" s="28" t="inlineStr">
        <is>
          <t>https://www.ncjua-nciua.org/html/svcs_cov.htm</t>
        </is>
      </c>
      <c r="G6" s="48" t="n">
        <v>46296</v>
      </c>
      <c r="H6" s="28" t="inlineStr">
        <is>
          <t>North Carolina</t>
        </is>
      </c>
      <c r="I6" s="28" t="inlineStr">
        <is>
          <t>Regulator-published</t>
        </is>
      </c>
      <c r="J6" s="28" t="inlineStr">
        <is>
          <t>Primary source</t>
        </is>
      </c>
      <c r="K6" s="48" t="n">
        <v>46296</v>
      </c>
    </row>
    <row r="7">
      <c r="A7" s="28" t="inlineStr">
        <is>
          <t>NC FAIR Plan</t>
        </is>
      </c>
      <c r="B7" s="28" t="inlineStr">
        <is>
          <t>Market of last resort</t>
        </is>
      </c>
      <c r="C7" s="28" t="inlineStr">
        <is>
          <t>Both the FAIR Plan and the Coastal Property Insurance Pool are a market of last resort; applicants are expected to attempt to obtain insurance in the standard market first</t>
        </is>
      </c>
      <c r="D7" s="28" t="inlineStr">
        <is>
          <t>NCJUA/NCIUA (FAIR/Beach Plans administrator)</t>
        </is>
      </c>
      <c r="E7" s="28" t="inlineStr">
        <is>
          <t>NC Joint Underwriting Association / Insurance Underwriting Association (FAIR/Beach Plans)</t>
        </is>
      </c>
      <c r="F7" s="28" t="inlineStr">
        <is>
          <t>https://www.ncjua-nciua.org/html/svcs_cov.htm</t>
        </is>
      </c>
      <c r="G7" s="48" t="n">
        <v>46296</v>
      </c>
      <c r="H7" s="28" t="inlineStr">
        <is>
          <t>North Carolina</t>
        </is>
      </c>
      <c r="I7" s="28" t="inlineStr">
        <is>
          <t>Regulator-published</t>
        </is>
      </c>
      <c r="J7" s="28" t="inlineStr">
        <is>
          <t>Primary source</t>
        </is>
      </c>
      <c r="K7" s="48" t="n">
        <v>46296</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Minimum liability</t>
        </is>
      </c>
      <c r="B2" s="28" t="inlineStr">
        <is>
          <t>Bodily injury per person</t>
        </is>
      </c>
      <c r="C2" s="28" t="inlineStr">
        <is>
          <t>$50,000 (raised from $30,000, effective for policies on or after January 1, 2025)</t>
        </is>
      </c>
      <c r="D2" s="28" t="inlineStr">
        <is>
          <t>VA DMV insurance requirements page</t>
        </is>
      </c>
      <c r="E2" s="28" t="inlineStr">
        <is>
          <t>Virginia DMV - Insurance Requirements</t>
        </is>
      </c>
      <c r="F2" s="28" t="inlineStr">
        <is>
          <t>https://www.dmv.virginia.gov/vehicles/insurance-requirements</t>
        </is>
      </c>
      <c r="G2" s="48" t="n">
        <v>46296</v>
      </c>
      <c r="H2" s="28" t="inlineStr">
        <is>
          <t>Virginia</t>
        </is>
      </c>
      <c r="I2" s="28" t="inlineStr">
        <is>
          <t>Regulator-published</t>
        </is>
      </c>
      <c r="J2" s="28" t="inlineStr">
        <is>
          <t>Primary source</t>
        </is>
      </c>
      <c r="K2" s="48" t="n">
        <v>46296</v>
      </c>
    </row>
    <row r="3">
      <c r="A3" s="28" t="inlineStr">
        <is>
          <t>Minimum liability</t>
        </is>
      </c>
      <c r="B3" s="28" t="inlineStr">
        <is>
          <t>Bodily injury per accident</t>
        </is>
      </c>
      <c r="C3" s="28" t="inlineStr">
        <is>
          <t>$100,000 (raised from $60,000, effective for policies on or after January 1, 2025)</t>
        </is>
      </c>
      <c r="D3" s="28" t="inlineStr">
        <is>
          <t>VA DMV insurance requirements page</t>
        </is>
      </c>
      <c r="E3" s="28" t="inlineStr">
        <is>
          <t>Virginia DMV - Insurance Requirements</t>
        </is>
      </c>
      <c r="F3" s="28" t="inlineStr">
        <is>
          <t>https://www.dmv.virginia.gov/vehicles/insurance-requirements</t>
        </is>
      </c>
      <c r="G3" s="48" t="n">
        <v>46296</v>
      </c>
      <c r="H3" s="28" t="inlineStr">
        <is>
          <t>Virginia</t>
        </is>
      </c>
      <c r="I3" s="28" t="inlineStr">
        <is>
          <t>Regulator-published</t>
        </is>
      </c>
      <c r="J3" s="28" t="inlineStr">
        <is>
          <t>Primary source</t>
        </is>
      </c>
      <c r="K3" s="48" t="n">
        <v>46296</v>
      </c>
    </row>
    <row r="4">
      <c r="A4" s="28" t="inlineStr">
        <is>
          <t>Minimum liability</t>
        </is>
      </c>
      <c r="B4" s="28" t="inlineStr">
        <is>
          <t>Property damage</t>
        </is>
      </c>
      <c r="C4" s="28" t="inlineStr">
        <is>
          <t>$25,000 (raised from $20,000, effective for policies on or after January 1, 2025)</t>
        </is>
      </c>
      <c r="D4" s="28" t="inlineStr">
        <is>
          <t>VA DMV insurance requirements page</t>
        </is>
      </c>
      <c r="E4" s="28" t="inlineStr">
        <is>
          <t>Virginia DMV - Insurance Requirements</t>
        </is>
      </c>
      <c r="F4" s="28" t="inlineStr">
        <is>
          <t>https://www.dmv.virginia.gov/vehicles/insurance-requirements</t>
        </is>
      </c>
      <c r="G4" s="48" t="n">
        <v>46296</v>
      </c>
      <c r="H4" s="28" t="inlineStr">
        <is>
          <t>Virginia</t>
        </is>
      </c>
      <c r="I4" s="28" t="inlineStr">
        <is>
          <t>Regulator-published</t>
        </is>
      </c>
      <c r="J4" s="28" t="inlineStr">
        <is>
          <t>Primary source</t>
        </is>
      </c>
      <c r="K4" s="48" t="n">
        <v>46296</v>
      </c>
    </row>
    <row r="5">
      <c r="A5" s="28" t="inlineStr">
        <is>
          <t>Coverage</t>
        </is>
      </c>
      <c r="B5" s="28" t="inlineStr">
        <is>
          <t>Continuous coverage required while registered</t>
        </is>
      </c>
      <c r="C5" s="28" t="inlineStr">
        <is>
          <t>Virginia Code Section 46.2-706 requires every registered motor vehicle to be insured by a liability policy from a Virginia-licensed insurer, and the vehicle must remain insured while registered whether or not it is actually operated</t>
        </is>
      </c>
      <c r="D5" s="28" t="inlineStr">
        <is>
          <t>Va. Code Ann. Section 46.2-706; VA DMV insurance requirements page</t>
        </is>
      </c>
      <c r="E5" s="28" t="inlineStr">
        <is>
          <t>Virginia DMV - Insurance Requirements</t>
        </is>
      </c>
      <c r="F5" s="28" t="inlineStr">
        <is>
          <t>https://www.dmv.virginia.gov/vehicles/insurance-requirements</t>
        </is>
      </c>
      <c r="G5" s="48" t="n">
        <v>46296</v>
      </c>
      <c r="H5" s="28" t="inlineStr">
        <is>
          <t>Virginia</t>
        </is>
      </c>
      <c r="I5" s="28" t="inlineStr">
        <is>
          <t>Regulator-published</t>
        </is>
      </c>
      <c r="J5" s="28" t="inlineStr">
        <is>
          <t>Primary source</t>
        </is>
      </c>
      <c r="K5" s="48" t="n">
        <v>46296</v>
      </c>
    </row>
    <row r="6">
      <c r="A6" s="28" t="inlineStr">
        <is>
          <t>Coverage</t>
        </is>
      </c>
      <c r="B6" s="28" t="inlineStr">
        <is>
          <t>Uninsured motor vehicle fee eliminated</t>
        </is>
      </c>
      <c r="C6" s="28" t="inlineStr">
        <is>
          <t>Virginia ended its long-standing 'uninsured motor vehicle fee' option (which allowed paying a fee instead of carrying insurance) effective July 1, 2024; every registered vehicle must now carry actual liability insurance</t>
        </is>
      </c>
      <c r="D6" s="28" t="inlineStr">
        <is>
          <t>VA DMV insurance requirements page</t>
        </is>
      </c>
      <c r="E6" s="28" t="inlineStr">
        <is>
          <t>Virginia DMV - Insurance Requirements</t>
        </is>
      </c>
      <c r="F6" s="28" t="inlineStr">
        <is>
          <t>https://www.dmv.virginia.gov/vehicles/insurance-requirements</t>
        </is>
      </c>
      <c r="G6" s="48" t="n">
        <v>46296</v>
      </c>
      <c r="H6" s="28" t="inlineStr">
        <is>
          <t>Virginia</t>
        </is>
      </c>
      <c r="I6" s="28" t="inlineStr">
        <is>
          <t>Regulator-published</t>
        </is>
      </c>
      <c r="J6" s="28" t="inlineStr">
        <is>
          <t>Primary source</t>
        </is>
      </c>
      <c r="K6" s="48" t="n">
        <v>46296</v>
      </c>
    </row>
    <row r="7">
      <c r="A7" s="28" t="inlineStr">
        <is>
          <t>Cancellation</t>
        </is>
      </c>
      <c r="B7" s="28" t="inlineStr">
        <is>
          <t>Penalties for an uninsured vehicle</t>
        </is>
      </c>
      <c r="C7" s="28" t="inlineStr">
        <is>
          <t>DMV suspends the owner's driver's license, vehicle registration, and license plates for an uninsured vehicle until the owner pays a $600 non-compliance fee, furnishes and maintains SR-22 proof of financial responsibility for three years, and pays a reinstatement fee if applicable; a Payment Plan Program is available for eligible owners to spread out the statutory fee</t>
        </is>
      </c>
      <c r="D7" s="28" t="inlineStr">
        <is>
          <t>VA DMV insurance requirements page</t>
        </is>
      </c>
      <c r="E7" s="28" t="inlineStr">
        <is>
          <t>Virginia DMV - Insurance Requirements</t>
        </is>
      </c>
      <c r="F7" s="28" t="inlineStr">
        <is>
          <t>https://www.dmv.virginia.gov/vehicles/insurance-requirements</t>
        </is>
      </c>
      <c r="G7" s="48" t="n">
        <v>46296</v>
      </c>
      <c r="H7" s="28" t="inlineStr">
        <is>
          <t>Virginia</t>
        </is>
      </c>
      <c r="I7" s="28" t="inlineStr">
        <is>
          <t>Regulator-published</t>
        </is>
      </c>
      <c r="J7" s="28" t="inlineStr">
        <is>
          <t>Primary source</t>
        </is>
      </c>
      <c r="K7" s="48" t="n">
        <v>46296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8" t="inlineStr">
        <is>
          <t>Topic</t>
        </is>
      </c>
      <c r="B1" s="28" t="inlineStr">
        <is>
          <t>Fact</t>
        </is>
      </c>
      <c r="C1" s="28" t="inlineStr">
        <is>
          <t>Value</t>
        </is>
      </c>
      <c r="D1" s="28" t="inlineStr">
        <is>
          <t>Legal Citation</t>
        </is>
      </c>
      <c r="E1" s="28" t="inlineStr">
        <is>
          <t>Source</t>
        </is>
      </c>
      <c r="F1" s="28" t="inlineStr">
        <is>
          <t>Source URL</t>
        </is>
      </c>
      <c r="G1" s="28" t="inlineStr">
        <is>
          <t>Date Collected</t>
        </is>
      </c>
      <c r="H1" s="28" t="inlineStr">
        <is>
          <t>Geographic Scope</t>
        </is>
      </c>
      <c r="I1" s="28" t="inlineStr">
        <is>
          <t>Data Type</t>
        </is>
      </c>
      <c r="J1" s="28" t="inlineStr">
        <is>
          <t>Verification Status</t>
        </is>
      </c>
      <c r="K1" s="28" t="inlineStr">
        <is>
          <t>Last Updated</t>
        </is>
      </c>
      <c r="L1" s="28" t="inlineStr">
        <is>
          <t>Notes</t>
        </is>
      </c>
    </row>
    <row r="2">
      <c r="A2" s="28" t="inlineStr">
        <is>
          <t>Virginia FAIR Plan</t>
        </is>
      </c>
      <c r="B2" s="28" t="inlineStr">
        <is>
          <t>What it is</t>
        </is>
      </c>
      <c r="C2" s="28" t="inlineStr">
        <is>
          <t>The Virginia Property Insurance Association (VPIA) is Virginia's FAIR Plan, a market of last resort providing dwelling, commercial, condominium, tenant-contents, and landlord (absentee-owner) property coverage for applicants unable to obtain it in the standard market</t>
        </is>
      </c>
      <c r="D2" s="28" t="inlineStr">
        <is>
          <t>VPIA FAQ (plan administrator)</t>
        </is>
      </c>
      <c r="E2" s="28" t="inlineStr">
        <is>
          <t>Virginia Property Insurance Association (VPIA) - Frequently Asked Questions</t>
        </is>
      </c>
      <c r="F2" s="28" t="inlineStr">
        <is>
          <t>https://www.vpia.com/frequently-asked-questions/</t>
        </is>
      </c>
      <c r="G2" s="48" t="n">
        <v>46296</v>
      </c>
      <c r="H2" s="28" t="inlineStr">
        <is>
          <t>Virginia</t>
        </is>
      </c>
      <c r="I2" s="28" t="inlineStr">
        <is>
          <t>Regulator-published</t>
        </is>
      </c>
      <c r="J2" s="28" t="inlineStr">
        <is>
          <t>Primary source</t>
        </is>
      </c>
      <c r="K2" s="48" t="n">
        <v>46296</v>
      </c>
    </row>
    <row r="3">
      <c r="A3" s="28" t="inlineStr">
        <is>
          <t>Virginia FAIR Plan</t>
        </is>
      </c>
      <c r="B3" s="28" t="inlineStr">
        <is>
          <t>Optional endorsements</t>
        </is>
      </c>
      <c r="C3" s="28" t="inlineStr">
        <is>
          <t>Optional endorsements including theft, replacement cost, liability, and ordinance-and-law coverage are available subject to underwriting approval</t>
        </is>
      </c>
      <c r="D3" s="28" t="inlineStr">
        <is>
          <t>VPIA FAQ (plan administrator)</t>
        </is>
      </c>
      <c r="E3" s="28" t="inlineStr">
        <is>
          <t>Virginia Property Insurance Association (VPIA) - Frequently Asked Questions</t>
        </is>
      </c>
      <c r="F3" s="28" t="inlineStr">
        <is>
          <t>https://www.vpia.com/frequently-asked-questions/</t>
        </is>
      </c>
      <c r="G3" s="48" t="n">
        <v>46296</v>
      </c>
      <c r="H3" s="28" t="inlineStr">
        <is>
          <t>Virginia</t>
        </is>
      </c>
      <c r="I3" s="28" t="inlineStr">
        <is>
          <t>Regulator-published</t>
        </is>
      </c>
      <c r="J3" s="28" t="inlineStr">
        <is>
          <t>Primary source</t>
        </is>
      </c>
      <c r="K3" s="48" t="n">
        <v>46296</v>
      </c>
    </row>
    <row r="4">
      <c r="A4" s="28" t="inlineStr">
        <is>
          <t>Virginia FAIR Plan</t>
        </is>
      </c>
      <c r="B4" s="28" t="inlineStr">
        <is>
          <t>Base policy exclusions</t>
        </is>
      </c>
      <c r="C4" s="28" t="inlineStr">
        <is>
          <t>The base FP-1 policy form excludes water damage and does not include Additional Living Expenses coverage (ALE is available only on the broader FP-2 form); no liability coverage is provided for non-owner-occupied dwellings</t>
        </is>
      </c>
      <c r="D4" s="28" t="inlineStr">
        <is>
          <t>VPIA FAQ (plan administrator)</t>
        </is>
      </c>
      <c r="E4" s="28" t="inlineStr">
        <is>
          <t>Virginia Property Insurance Association (VPIA) - Frequently Asked Questions</t>
        </is>
      </c>
      <c r="F4" s="28" t="inlineStr">
        <is>
          <t>https://www.vpia.com/frequently-asked-questions/</t>
        </is>
      </c>
      <c r="G4" s="48" t="n">
        <v>46296</v>
      </c>
      <c r="H4" s="28" t="inlineStr">
        <is>
          <t>Virginia</t>
        </is>
      </c>
      <c r="I4" s="28" t="inlineStr">
        <is>
          <t>Regulator-published</t>
        </is>
      </c>
      <c r="J4" s="28" t="inlineStr">
        <is>
          <t>Primary source</t>
        </is>
      </c>
      <c r="K4" s="48" t="n">
        <v>46296</v>
      </c>
    </row>
    <row r="5">
      <c r="A5" s="28" t="inlineStr">
        <is>
          <t>Virginia FAIR Plan</t>
        </is>
      </c>
      <c r="B5" s="28" t="inlineStr">
        <is>
          <t>Annual reapplication</t>
        </is>
      </c>
      <c r="C5" s="28" t="inlineStr">
        <is>
          <t>VPIA policies are not automatically renewed; policyholders must reapply annually</t>
        </is>
      </c>
      <c r="D5" s="28" t="inlineStr">
        <is>
          <t>VPIA FAQ (plan administrator)</t>
        </is>
      </c>
      <c r="E5" s="28" t="inlineStr">
        <is>
          <t>Virginia Property Insurance Association (VPIA) - Frequently Asked Questions</t>
        </is>
      </c>
      <c r="F5" s="28" t="inlineStr">
        <is>
          <t>https://www.vpia.com/frequently-asked-questions/</t>
        </is>
      </c>
      <c r="G5" s="48" t="n">
        <v>46296</v>
      </c>
      <c r="H5" s="28" t="inlineStr">
        <is>
          <t>Virginia</t>
        </is>
      </c>
      <c r="I5" s="28" t="inlineStr">
        <is>
          <t>Regulator-published</t>
        </is>
      </c>
      <c r="J5" s="28" t="inlineStr">
        <is>
          <t>Primary source</t>
        </is>
      </c>
      <c r="K5" s="48" t="n">
        <v>46296</v>
      </c>
    </row>
    <row r="6">
      <c r="A6" s="28" t="inlineStr">
        <is>
          <t>Virginia FAIR Plan</t>
        </is>
      </c>
      <c r="B6" s="28" t="inlineStr">
        <is>
          <t>Underwriting restriction on animals</t>
        </is>
      </c>
      <c r="C6" s="28" t="inlineStr">
        <is>
          <t>Coverage may be canceled if prohibited animals are kept on the property, including certain dog breeds and farm animals such as chickens, rabbits, horses, goats, pigs, and snakes</t>
        </is>
      </c>
      <c r="D6" s="28" t="inlineStr">
        <is>
          <t>VPIA FAQ (plan administrator)</t>
        </is>
      </c>
      <c r="E6" s="28" t="inlineStr">
        <is>
          <t>Virginia Property Insurance Association (VPIA) - Frequently Asked Questions</t>
        </is>
      </c>
      <c r="F6" s="28" t="inlineStr">
        <is>
          <t>https://www.vpia.com/frequently-asked-questions/</t>
        </is>
      </c>
      <c r="G6" s="48" t="n">
        <v>46296</v>
      </c>
      <c r="H6" s="28" t="inlineStr">
        <is>
          <t>Virginia</t>
        </is>
      </c>
      <c r="I6" s="28" t="inlineStr">
        <is>
          <t>Regulator-published</t>
        </is>
      </c>
      <c r="J6" s="28" t="inlineStr">
        <is>
          <t>Primary source</t>
        </is>
      </c>
      <c r="K6" s="48" t="n">
        <v>46296</v>
      </c>
    </row>
    <row r="7">
      <c r="A7" s="28" t="inlineStr">
        <is>
          <t>Virginia FAIR Plan</t>
        </is>
      </c>
      <c r="B7" s="28" t="inlineStr">
        <is>
          <t>Contact</t>
        </is>
      </c>
      <c r="C7" s="28" t="inlineStr">
        <is>
          <t>Phone (804) 591-3700 or (800) 899-7973, Monday-Friday 8:00 AM-4:30 PM; underwriting@vpia.com; claims@vpia.com</t>
        </is>
      </c>
      <c r="D7" s="28" t="inlineStr">
        <is>
          <t>VPIA FAQ (plan administrator)</t>
        </is>
      </c>
      <c r="E7" s="28" t="inlineStr">
        <is>
          <t>Virginia Property Insurance Association (VPIA) - Frequently Asked Questions</t>
        </is>
      </c>
      <c r="F7" s="28" t="inlineStr">
        <is>
          <t>https://www.vpia.com/frequently-asked-questions/</t>
        </is>
      </c>
      <c r="G7" s="48" t="n">
        <v>46296</v>
      </c>
      <c r="H7" s="28" t="inlineStr">
        <is>
          <t>Virginia</t>
        </is>
      </c>
      <c r="I7" s="28" t="inlineStr">
        <is>
          <t>Regulator-published</t>
        </is>
      </c>
      <c r="J7" s="28" t="inlineStr">
        <is>
          <t>Primary source</t>
        </is>
      </c>
      <c r="K7" s="48" t="n">
        <v>46296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2026-09-30T09:47:52Z</dcterms:created>
  <dcterms:modified xsi:type="dcterms:W3CDTF">2026-10-01T06:09:43Z</dcterms:modified>
  <cp:revision>0</cp:revision>
</cp:coreProperties>
</file>